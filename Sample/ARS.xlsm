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https://d.docs.live.net/3842bf972dfc8ac6/Desktop/ARS/Sample/"/>
    </mc:Choice>
  </mc:AlternateContent>
  <xr:revisionPtr revIDLastSave="9169" documentId="13_ncr:81_{B9A6D3D2-D89B-4051-96BA-CB975A05B73C}" xr6:coauthVersionLast="45" xr6:coauthVersionMax="45" xr10:uidLastSave="{CDF9AA39-C9E7-4A91-8869-5E11E4B7F0A1}"/>
  <bookViews>
    <workbookView xWindow="-98" yWindow="-98" windowWidth="28996" windowHeight="15796" xr2:uid="{F35C2E23-5B7B-4DC6-B8EA-40053A237CC2}"/>
  </bookViews>
  <sheets>
    <sheet name="RunSheet" sheetId="1" r:id="rId1"/>
    <sheet name="Settings" sheetId="2" r:id="rId2"/>
    <sheet name="EditorManual" sheetId="3" r:id="rId3"/>
  </sheets>
  <functionGroups builtInGroupCount="19"/>
  <definedNames>
    <definedName name="CurrentDayCell">RunSheet!$O$1</definedName>
    <definedName name="CurrentDayTextCell">RunSheet!$N$1</definedName>
    <definedName name="EditorSwitchCell">RunSheet!$I$3</definedName>
    <definedName name="EndOfDayCell">RunSheet!$M$2</definedName>
    <definedName name="LateSwitchCell">RunSheet!$I$2</definedName>
    <definedName name="NewStepMenu">RunSheet!$G$11</definedName>
    <definedName name="NextDayCell">RunSheet!$O$3</definedName>
    <definedName name="NextDayTextCell">RunSheet!$N$3</definedName>
    <definedName name="PreviousDayCell">RunSheet!$O$2</definedName>
    <definedName name="PreviousDayTextCell">RunSheet!$N$2</definedName>
    <definedName name="RunSheetBooleanCells">RunSheet!$A$5:$F$10</definedName>
    <definedName name="RunSheetButtons">RunSheet!$I$2:$I$3,RunSheet!$M$2,RunSheet!$I$9</definedName>
    <definedName name="RunSheetDelimiters">RunSheet!$H$7:$O$7</definedName>
    <definedName name="RunSheetDescriptionColumnData">RunSheet!$J$5:$J$6,RunSheet!$J$8:$J$10</definedName>
    <definedName name="RunSheetEditorColumns">RunSheet!$A$5:$G$10</definedName>
    <definedName name="RunSheetIsFirstSpecialColumnData">RunSheet!$B$5:$B$10</definedName>
    <definedName name="RunSheetIsFirstSpecialWorkColumnData">RunSheet!$E$5:$E$10</definedName>
    <definedName name="RunSheetIsLastSpecialColumnData">RunSheet!$D$5:$D$10</definedName>
    <definedName name="RunSheetIsLastSpecialWorkColumnData">RunSheet!$F$5:$F$10</definedName>
    <definedName name="RunSheetIsLateSpecialColumnData">RunSheet!$A$5:$A$10</definedName>
    <definedName name="RunSheetIsRegularSpecialColumnData">RunSheet!$C$5:$C$10</definedName>
    <definedName name="RunSheetProcessingBlockColumnData">RunSheet!$H$5:$H$6,RunSheet!$H$8:$H$10</definedName>
    <definedName name="RunSheetStatusColumnData">RunSheet!$O$5:$O$6,RunSheet!$O$8:$O$10</definedName>
    <definedName name="RunSheetStepNameColumnData">RunSheet!$I$5:$I$6,RunSheet!$I$8:$I$10</definedName>
    <definedName name="RunSheetTimeColumnData">RunSheet!$M$5:$M$6,RunSheet!$M$8:$M$10</definedName>
    <definedName name="RunSheetTimeEndColumnData">RunSheet!$L$5:$L$6,RunSheet!$L$8:$L$10</definedName>
    <definedName name="RunSheetTimeStartColumnData">RunSheet!$K$5:$K$6,RunSheet!$K$8:$K$10</definedName>
    <definedName name="RunSheetTitleRow">RunSheet!$A$4:$O$4</definedName>
    <definedName name="RunSheetTypeColumnData">RunSheet!$G$5:$G$10</definedName>
    <definedName name="RunSheetUI">RunSheet!$I$2:$I$3,RunSheet!$J$1,RunSheet!$N$1,RunSheet!$N$3,RunSheet!$M$2:$N$2</definedName>
    <definedName name="RunSheetUserColumnData">RunSheet!$N$5:$N$6,RunSheet!$N$8:$N$10</definedName>
    <definedName name="SettingsBooleanCells">Settings!$E$2,Settings!$E$5,Settings!$E$11,Settings!$E$45:$E$46,Settings!$E$52,Settings!$E$55:$E$56,Settings!$C$2:$D$61</definedName>
    <definedName name="SettingsColors">Settings!$E$20:$E$30</definedName>
    <definedName name="SettingsDescriptionColumnData">Settings!$F$2:$F$61</definedName>
    <definedName name="SettingsEditable">Settings!$E$12:$E$16,Settings!$E$57</definedName>
    <definedName name="SettingsEditModeValue">Settings!$E$2</definedName>
    <definedName name="SettingsIDColumnData">Settings!$A$2:$A$61</definedName>
    <definedName name="SettingsIsCustomColumnData">Settings!$C$2:$C$61</definedName>
    <definedName name="SettingsIsEditableColumnData">Settings!$D$2:$D$61</definedName>
    <definedName name="SettingsLateFlagValue">Settings!$E$5</definedName>
    <definedName name="SettingsTimeCells">Settings!$E$49:$E$51</definedName>
    <definedName name="SettingsTitleRow">Settings!$A$1:$F$1</definedName>
    <definedName name="SettingsTypeColumnData">Settings!$B$2:$B$61</definedName>
    <definedName name="SettingsValueColumnData">Settings!$E$2:$E$61</definedName>
    <definedName name="WelcomeCell">RunSheet!$J$1</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4" i="3" l="1"/>
  <c r="B19" i="3" l="1"/>
  <c r="B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Dmitry Kustov</author>
  </authors>
  <commentList>
    <comment ref="A4" authorId="0" shapeId="0" xr:uid="{211E8279-AF94-497A-A51B-68FF6CB3AAF0}">
      <text>
        <r>
          <rPr>
            <sz val="9"/>
            <color indexed="81"/>
            <rFont val="Tahoma"/>
            <family val="2"/>
            <charset val="204"/>
          </rPr>
          <t>If Step is to be done only in case of Late processing</t>
        </r>
      </text>
    </comment>
    <comment ref="B4" authorId="0" shapeId="0" xr:uid="{8C9FF8AF-5F88-4DBA-A6EB-1089441263EF}">
      <text>
        <r>
          <rPr>
            <sz val="9"/>
            <color indexed="81"/>
            <rFont val="Tahoma"/>
            <family val="2"/>
            <charset val="204"/>
          </rPr>
          <t>If Step is to be done in case of First Special (working holiday) day</t>
        </r>
      </text>
    </comment>
    <comment ref="C4" authorId="0" shapeId="0" xr:uid="{D8518333-ADBC-4FEE-9181-40B2F8DC53D1}">
      <text>
        <r>
          <rPr>
            <sz val="9"/>
            <color indexed="81"/>
            <rFont val="Tahoma"/>
            <family val="2"/>
            <charset val="204"/>
          </rPr>
          <t>If Step is to be done in case of Regular (neither first, nor last) Special (working holiday) day</t>
        </r>
      </text>
    </comment>
    <comment ref="D4" authorId="0" shapeId="0" xr:uid="{A1F291A2-B66B-4A56-8A97-756DEFCAFEDA}">
      <text>
        <r>
          <rPr>
            <sz val="9"/>
            <color indexed="81"/>
            <rFont val="Tahoma"/>
            <family val="2"/>
            <charset val="204"/>
          </rPr>
          <t>If Step is to be done in case of Last Special (working holiday) day</t>
        </r>
      </text>
    </comment>
    <comment ref="E4" authorId="0" shapeId="0" xr:uid="{20683D81-DD00-4B04-946F-1160EDF1E84A}">
      <text>
        <r>
          <rPr>
            <sz val="9"/>
            <color indexed="81"/>
            <rFont val="Tahoma"/>
            <family val="2"/>
            <charset val="204"/>
          </rPr>
          <t>If Step is to be done in case of First Working (after Special) day</t>
        </r>
      </text>
    </comment>
    <comment ref="F4" authorId="0" shapeId="0" xr:uid="{6389BBBB-306C-4B4E-8C24-A572E03A18E6}">
      <text>
        <r>
          <rPr>
            <sz val="9"/>
            <color indexed="81"/>
            <rFont val="Tahoma"/>
            <family val="2"/>
            <charset val="204"/>
          </rPr>
          <t>If Step is to be done in case of Last Working (before Special) day</t>
        </r>
      </text>
    </comment>
    <comment ref="G4" authorId="0" shapeId="0" xr:uid="{1D7D2AA8-3D78-4BDD-A880-E97BB39D71E6}">
      <text>
        <r>
          <rPr>
            <sz val="9"/>
            <color indexed="81"/>
            <rFont val="Tahoma"/>
            <family val="2"/>
            <charset val="204"/>
          </rPr>
          <t>Type of step</t>
        </r>
      </text>
    </comment>
    <comment ref="H4" authorId="0" shapeId="0" xr:uid="{368442AD-A05C-486A-BEA7-335B1F6C0FA3}">
      <text>
        <r>
          <rPr>
            <sz val="9"/>
            <color indexed="81"/>
            <rFont val="Tahoma"/>
            <family val="2"/>
            <charset val="204"/>
          </rPr>
          <t>Groups of Steps for sorting ability</t>
        </r>
      </text>
    </comment>
    <comment ref="I4" authorId="0" shapeId="0" xr:uid="{70DC17D9-1C6B-4B26-9760-5330E69DBEE3}">
      <text>
        <r>
          <rPr>
            <sz val="9"/>
            <color indexed="81"/>
            <rFont val="Tahoma"/>
            <family val="2"/>
            <charset val="204"/>
          </rPr>
          <t>Step Name. Treat this as ID for humans</t>
        </r>
      </text>
    </comment>
    <comment ref="J4" authorId="0" shapeId="0" xr:uid="{5F3E9B50-863D-4C5A-97D8-C030BE57705E}">
      <text>
        <r>
          <rPr>
            <sz val="9"/>
            <color indexed="81"/>
            <rFont val="Tahoma"/>
            <family val="2"/>
            <charset val="204"/>
          </rPr>
          <t>Description of what needs to be done on this step</t>
        </r>
      </text>
    </comment>
    <comment ref="K4" authorId="0" shapeId="0" xr:uid="{7B4B008F-A8C2-4ECC-9CFB-43307FA9A749}">
      <text>
        <r>
          <rPr>
            <sz val="9"/>
            <color indexed="81"/>
            <rFont val="Tahoma"/>
            <family val="2"/>
            <charset val="204"/>
          </rPr>
          <t>Minimum time to start, if there is a constraint like that</t>
        </r>
      </text>
    </comment>
    <comment ref="L4" authorId="0" shapeId="0" xr:uid="{8CA877C3-3270-4776-8DC1-859D7E33ECEA}">
      <text>
        <r>
          <rPr>
            <sz val="9"/>
            <color indexed="81"/>
            <rFont val="Tahoma"/>
            <family val="2"/>
            <charset val="204"/>
          </rPr>
          <t>Maximum time to finish, if there is a constraint like that</t>
        </r>
      </text>
    </comment>
  </commentList>
</comments>
</file>

<file path=xl/sharedStrings.xml><?xml version="1.0" encoding="utf-8"?>
<sst xmlns="http://schemas.openxmlformats.org/spreadsheetml/2006/main" count="366" uniqueCount="272">
  <si>
    <t>Current Date:</t>
  </si>
  <si>
    <t>End Of Day</t>
  </si>
  <si>
    <t>Previous Date:</t>
  </si>
  <si>
    <t>Next Date:</t>
  </si>
  <si>
    <t>IsLateSpecial</t>
  </si>
  <si>
    <t>IsFirstSpecial</t>
  </si>
  <si>
    <t>IsRegularSpecial</t>
  </si>
  <si>
    <t>IsLastSpecial</t>
  </si>
  <si>
    <t>IsFirstSpecialWork</t>
  </si>
  <si>
    <t>IsLastSpecialWork</t>
  </si>
  <si>
    <t>Type</t>
  </si>
  <si>
    <t>ProcessingBlock</t>
  </si>
  <si>
    <t>StepName</t>
  </si>
  <si>
    <t>Description</t>
  </si>
  <si>
    <t>TimeStart</t>
  </si>
  <si>
    <t>TimeEnd</t>
  </si>
  <si>
    <t>Time</t>
  </si>
  <si>
    <t>User</t>
  </si>
  <si>
    <t>Status</t>
  </si>
  <si>
    <t>Regular</t>
  </si>
  <si>
    <t>Delimiter</t>
  </si>
  <si>
    <t>Button</t>
  </si>
  <si>
    <t>ID</t>
  </si>
  <si>
    <t>IsCustom</t>
  </si>
  <si>
    <t>IsEditable</t>
  </si>
  <si>
    <t>Value</t>
  </si>
  <si>
    <t>EditMode</t>
  </si>
  <si>
    <t>Boolean</t>
  </si>
  <si>
    <t>Flag identifying if weare in Editor mode</t>
  </si>
  <si>
    <t>RunSheetNamesRow</t>
  </si>
  <si>
    <t>Integer</t>
  </si>
  <si>
    <t>Variable identifying default row for RunSheet title</t>
  </si>
  <si>
    <t>ArrayDelimiter</t>
  </si>
  <si>
    <t>String</t>
  </si>
  <si>
    <t>;</t>
  </si>
  <si>
    <t>Symbol to be used as delimiter for Arrays (update them if this setting is changed)</t>
  </si>
  <si>
    <t>LateFlag</t>
  </si>
  <si>
    <t>Flag identifying if we have late processing or not</t>
  </si>
  <si>
    <t>MarkSymbolsCompleted</t>
  </si>
  <si>
    <t>Array</t>
  </si>
  <si>
    <t>C;С</t>
  </si>
  <si>
    <t>List of symbols used to mark steps as Completed</t>
  </si>
  <si>
    <t>MarkSymbolsInProgress</t>
  </si>
  <si>
    <t>S;Ы</t>
  </si>
  <si>
    <t>List of symbols used to mark steps as In Progress</t>
  </si>
  <si>
    <t>MarkSymbolsFailed</t>
  </si>
  <si>
    <t>E;F;У;А</t>
  </si>
  <si>
    <t>List of symbols used to mark steps as Failed</t>
  </si>
  <si>
    <t>MarkSymbolsSkipped</t>
  </si>
  <si>
    <t>Z;Я</t>
  </si>
  <si>
    <t>List of symbols used to mark steps as Skipped</t>
  </si>
  <si>
    <t>MarkSymbolsClear</t>
  </si>
  <si>
    <t>P;З</t>
  </si>
  <si>
    <t>List of symbols used to clear the step</t>
  </si>
  <si>
    <t>FirstSpecialDays</t>
  </si>
  <si>
    <t>2020.01.02;2020.01.07;2020.05.04</t>
  </si>
  <si>
    <t>List of extra working dates (like public holidays) with which the extra working period starts and need special processing</t>
  </si>
  <si>
    <t>RegularSpecialDays</t>
  </si>
  <si>
    <t>2020.01.03;2020.02.24;2020.03.09</t>
  </si>
  <si>
    <t>List of extra working dates (like public holidays) with which the extra working period neither stops nor ends and need special processing</t>
  </si>
  <si>
    <t>LastSpecialDays</t>
  </si>
  <si>
    <t>2020.01.04;2020.01.08;2020.05.05</t>
  </si>
  <si>
    <t>List of extra working dates (like public holidays) with which the extra working period ends and need special processing</t>
  </si>
  <si>
    <t>FirstSpecialWorkDays</t>
  </si>
  <si>
    <t>2020.01.09;2020.05.06</t>
  </si>
  <si>
    <t>List of dates that are first after extra working dates (like public holidays) and need special processing</t>
  </si>
  <si>
    <t>LastSpecialWorkDays</t>
  </si>
  <si>
    <t>2020.04.30;2020.12.31</t>
  </si>
  <si>
    <t>List of dates that are last before extra working dates (like public holidays) and need special processing</t>
  </si>
  <si>
    <t>DateFormat</t>
  </si>
  <si>
    <t>yyyy.mm.dd</t>
  </si>
  <si>
    <t>Default date format for date specific cells</t>
  </si>
  <si>
    <t>TimeFormat</t>
  </si>
  <si>
    <t>hh:mm</t>
  </si>
  <si>
    <t>Default time format for time specific cells</t>
  </si>
  <si>
    <t>DateTimeFormat</t>
  </si>
  <si>
    <t>yyyy.mm.dd hh:mm:ss</t>
  </si>
  <si>
    <t>Default date and time format for marked steps and logging</t>
  </si>
  <si>
    <t>ColorBackCompleted</t>
  </si>
  <si>
    <t>Color</t>
  </si>
  <si>
    <t>146;208;80</t>
  </si>
  <si>
    <t>Color for background for Completed cells</t>
  </si>
  <si>
    <t>ColorFontCompleted</t>
  </si>
  <si>
    <t>0;0;0</t>
  </si>
  <si>
    <t>Color for font for Completed cells</t>
  </si>
  <si>
    <t>ColorBackFailed</t>
  </si>
  <si>
    <t>255;104;104</t>
  </si>
  <si>
    <t>Color for background for Failed cells</t>
  </si>
  <si>
    <t>ColorFontFailed</t>
  </si>
  <si>
    <t>Color for font for Failed cells</t>
  </si>
  <si>
    <t>ColorBackSkipped</t>
  </si>
  <si>
    <t>166;166;166</t>
  </si>
  <si>
    <t>ColorFontSkipped</t>
  </si>
  <si>
    <t>Color for font for Skipped cells</t>
  </si>
  <si>
    <t>ColorBackInProgress</t>
  </si>
  <si>
    <t>255;192;0</t>
  </si>
  <si>
    <t>Color for background for In Progress cells</t>
  </si>
  <si>
    <t>ColorFontInProgress</t>
  </si>
  <si>
    <t>Color for font for In Progress cells</t>
  </si>
  <si>
    <t>ColorFontButton</t>
  </si>
  <si>
    <t>80;42;0</t>
  </si>
  <si>
    <t>Color for background for Buttons</t>
  </si>
  <si>
    <t>ColorBackButton</t>
  </si>
  <si>
    <t>255;215;0</t>
  </si>
  <si>
    <t>Color for font for Buttons</t>
  </si>
  <si>
    <t>ColorDelimiter</t>
  </si>
  <si>
    <t>128;128;128</t>
  </si>
  <si>
    <t>Color for delimiters</t>
  </si>
  <si>
    <t>StepMaxLength</t>
  </si>
  <si>
    <t>Maximum length of steps' names and IDs</t>
  </si>
  <si>
    <t>DescriptionWidth</t>
  </si>
  <si>
    <t>Width of description columns (in units of width of one character in the Normal style)</t>
  </si>
  <si>
    <t>Editors</t>
  </si>
  <si>
    <t>List of users, that are allowed to enter editor mode (with domain)</t>
  </si>
  <si>
    <t>LateSwitchCell</t>
  </si>
  <si>
    <t>Range</t>
  </si>
  <si>
    <t>I2</t>
  </si>
  <si>
    <t>Address of cell where button to switch Late Mode is</t>
  </si>
  <si>
    <t>EditorSwitchCell</t>
  </si>
  <si>
    <t>I3</t>
  </si>
  <si>
    <t>Address of cell where button to switch Editor Mode is</t>
  </si>
  <si>
    <t>CurrentDayCell</t>
  </si>
  <si>
    <t>O1</t>
  </si>
  <si>
    <t>Address of cell where current business day is shown</t>
  </si>
  <si>
    <t>PreviousDayCell</t>
  </si>
  <si>
    <t>O2</t>
  </si>
  <si>
    <t>Address of cell where previous business day is shown</t>
  </si>
  <si>
    <t>NextDayCell</t>
  </si>
  <si>
    <t>O3</t>
  </si>
  <si>
    <t>Address of cell where next business day is shown</t>
  </si>
  <si>
    <t>WelcomeCell</t>
  </si>
  <si>
    <t>Address of cell where welcome message is displayed</t>
  </si>
  <si>
    <t>Disclaimer</t>
  </si>
  <si>
    <t>Optional Disclaimer text to be shown on open</t>
  </si>
  <si>
    <t>Logging</t>
  </si>
  <si>
    <t>Whether to log different actions to a file</t>
  </si>
  <si>
    <t>LogRotate</t>
  </si>
  <si>
    <t>Whether to split log by days or log into 1 file</t>
  </si>
  <si>
    <t>LogPath</t>
  </si>
  <si>
    <t>Path to put logs into. If empty will create a Logs folder near the RunSheet if rotation is enabled or near the main RunSheet file, if rotation is disabled.</t>
  </si>
  <si>
    <t>LogName</t>
  </si>
  <si>
    <t>Name of the log file, if rotation is disabled. If empty will use RunSheet file name, but with .log extension.</t>
  </si>
  <si>
    <t>CurrentDayTextCell</t>
  </si>
  <si>
    <t>N1</t>
  </si>
  <si>
    <t>Address of cell where text hint for current business day is shown</t>
  </si>
  <si>
    <t>PreviousDayTextCell</t>
  </si>
  <si>
    <t>N2</t>
  </si>
  <si>
    <t>Address of cell where text hint for previous business day is shown</t>
  </si>
  <si>
    <t>NextDayTextCell</t>
  </si>
  <si>
    <t>N3</t>
  </si>
  <si>
    <t>Address of cell where text hint for next businss day is shown</t>
  </si>
  <si>
    <t>TimeStartMargin</t>
  </si>
  <si>
    <t>How long after the start should we highlight steps with TimeStart setup</t>
  </si>
  <si>
    <t>TimeEndMargin</t>
  </si>
  <si>
    <t>How long before the end should we highlight steps with TimeEnd setup</t>
  </si>
  <si>
    <t>BackupAuto</t>
  </si>
  <si>
    <t>Whether to backup workbook when clicking on End Of Day button</t>
  </si>
  <si>
    <t>BackupPath</t>
  </si>
  <si>
    <t>Path to put backups to (names will always be in YYYYMMDD[_hhmmss] format). If empty will create a Backup folder near the RunSheet file.</t>
  </si>
  <si>
    <t>EndOfDayCell</t>
  </si>
  <si>
    <t>M2</t>
  </si>
  <si>
    <t>Address of cell, where End Of Day cell is placed</t>
  </si>
  <si>
    <t>WeekEnds</t>
  </si>
  <si>
    <t>1;7</t>
  </si>
  <si>
    <t>Days considered as regular non-working days (weekend) as array of numbers, where Sunday is 1, Monday is 2 and Saturday is 7 (as per VBA specification)</t>
  </si>
  <si>
    <t>Step types</t>
  </si>
  <si>
    <t>Flags</t>
  </si>
  <si>
    <t>In case we have a time limit for processing something and have to do something extra in such case (on same day or on next day) - set this flag to True for those extra steps. They will be shown only in case Late Mode is turned on.</t>
  </si>
  <si>
    <t>Steps, that will have their 'Step Name' treated as a double-click button (styled by ButtonFontColor, ButtonBackColor and ButtonFontStyle settings) and will run code associtated with them</t>
  </si>
  <si>
    <t>In case we have a set of extra working days (on weekends or public holidays) and a step needs to be done on first extra day - set this flag to True. Set it to False if step is expected to be skipped. List of such days is managed by FirstSpecialDays.</t>
  </si>
  <si>
    <t>Steps, that are used as delimiters for optional visual differentiation between processing blocks (styled by DelimiterColor setting, do not have visbile text in reality)</t>
  </si>
  <si>
    <t>In case we have a set of extra working days (on weekends or public holidays) and a step needs to be done on extra day, that I neither first or last (in 3+ days sets) - set this flag to True. Set it to False if step is expected to be skipped. List of such days is managed by RegularSpecialDays.</t>
  </si>
  <si>
    <t>Status types</t>
  </si>
  <si>
    <t>In case we have a set of extra working days (on weekends or public holidays) and a step needs to be done on last extra day - set this flag to True. Set it to False if step is expected to be skipped. List of such days is managed by LastSpecialDays.</t>
  </si>
  <si>
    <t>Completed</t>
  </si>
  <si>
    <t>Step is completed (styled by ColorBackCompleted and ColorFontCompleted settings)</t>
  </si>
  <si>
    <t>In case we have a set of extra working days (on weekends or public holidays) and a step needs to be done on first regular working day - set this flag to True. Set it to False if step is expected to be skipped. List of such days is managed by FirstSpecialWorkDays.</t>
  </si>
  <si>
    <t>In Progress</t>
  </si>
  <si>
    <t>A time-consuming step is in progress (styled by ColorBackInProgress and ColorFontInProgress settings)</t>
  </si>
  <si>
    <t>In case we have a set of extra working days (on weekends or public holidays) and a step needs to be done on last regular working day - set this flag to True. Set it to False if step is expected to be skipped. List of such days is managed by LastSpecialWorkDays.</t>
  </si>
  <si>
    <t>Failed</t>
  </si>
  <si>
    <t>Step has failed (styled by ColorBackFailed and ColorFontFailed settings)</t>
  </si>
  <si>
    <t>Whether a setting is a "custom" one, that if removed will affect only custom buttons added by user not whole RunSheet. Removal of settings with this flag set as False will break RunSheet.</t>
  </si>
  <si>
    <t>Skipped</t>
  </si>
  <si>
    <t>Step was skipped (styled by ColorBackSkipped and ColorFontSkipped settings)</t>
  </si>
  <si>
    <t>Whether a setting can be edited by regular users</t>
  </si>
  <si>
    <t>Not the status itself, but an example of TimeStart or TimeEnd cells highlight, in case appropriate step has not been completed within the set timeframes</t>
  </si>
  <si>
    <t>Booleans</t>
  </si>
  <si>
    <t>Desription</t>
  </si>
  <si>
    <t>Not actually a status, just a text hint identifying delimiter steps (styled by DelimiterColor setting, does not have visible text in reality)</t>
  </si>
  <si>
    <t>This is simply to reference Excel's localized TRUE and FALSE values for autofilter, because otherwise it does not work as a language independent solution</t>
  </si>
  <si>
    <t>Setting types</t>
  </si>
  <si>
    <t>Regular text</t>
  </si>
  <si>
    <t>How To Create a Button</t>
  </si>
  <si>
    <t>Set type</t>
  </si>
  <si>
    <t>Change the type of appropriate type to 'Button'</t>
  </si>
  <si>
    <t>A TRUE or FALSE value</t>
  </si>
  <si>
    <t>Set ID</t>
  </si>
  <si>
    <t>Either manually update the ID to AlhaNumeric value of the 'Step Name' field or simply save the workbook</t>
  </si>
  <si>
    <t>Regular number</t>
  </si>
  <si>
    <t>Add function</t>
  </si>
  <si>
    <t>Color to be used for styling. Background of the cell is used as actual value. You can manually edit the string as well to update the color on next save.</t>
  </si>
  <si>
    <t>Set function</t>
  </si>
  <si>
    <t>Excel cell address like A1, without workbook or worksheet reference</t>
  </si>
  <si>
    <t>Add Step</t>
  </si>
  <si>
    <t>Choose one of supported functions for the button or refer one of your own</t>
  </si>
  <si>
    <t>Add arguments</t>
  </si>
  <si>
    <t>Set arguments</t>
  </si>
  <si>
    <t>In 'Settings' add a new setting of String type with ID made of Button's ID and word 'Function'. For example if ID is 'TestButton', new setting should be 'TestButtonFunction'</t>
  </si>
  <si>
    <t>In 'Settings' add a new setting of Array type with ID made of Button's ID and word 'Arguments'. For example if ID is 'TestButton', new setting should be 'TestButtonArguments'</t>
  </si>
  <si>
    <t>Set the arguments for the button.</t>
  </si>
  <si>
    <t>OpenFile</t>
  </si>
  <si>
    <t>AutoMailSend</t>
  </si>
  <si>
    <t>Whether to send mails automatically. While sometimes this may be ok, leaving it off is advisable, even though it creates the need to click extra buttons on sending mails.</t>
  </si>
  <si>
    <t>SendMail</t>
  </si>
  <si>
    <t/>
  </si>
  <si>
    <t>First argument is reserved for flag of marking the step: use 'Completed', 'Skipped', 'InProgress' (or 'In Progress') and 'Failed' to identify, that you want step to be marked accordingly. If you do not need marking, start the arguments list with the array delimiter. If you want it to be dependant on results of the function (boolean logic) use 'AutoCompeted', 'AutoInProgress' or 'AutoSkipped' respectively: in case of success, cell will be marked according to the type selected, and in case of failure - as 'Failed'</t>
  </si>
  <si>
    <t>Built-in Functions For Buttons</t>
  </si>
  <si>
    <t>MailSignatureConcat</t>
  </si>
  <si>
    <t>SpecialDaysReverse</t>
  </si>
  <si>
    <t>By default (FALSE) if a step is not have flag for any type of a special day set to TRUE, this step will be hidden, of such a special day arrives. If setting is set to TRUE, logic will be reversed: all steps marked as FALSE will be shown on all days and steps with special flag set to TRUE will be shown only special days. That is similar to LATE logic.</t>
  </si>
  <si>
    <t>Description ('first' implies 'first after reserved argument')</t>
  </si>
  <si>
    <t>For some reason I've seen people recommending to "merge" HTML signature from mail item with the actual text for the mail, when preparing it from VBA. Some say it conflicts with images, some say that it uses non-default fonts. I do not get these behaviours and regular string concatination works fine, until I have a multiline text. Concatination provides slightly better performance, though.</t>
  </si>
  <si>
    <t>CheckFileList</t>
  </si>
  <si>
    <t>RDP</t>
  </si>
  <si>
    <t>Connect to a PC using RDP protocol (mstsc). Expects HostName as first (and mandatory parameter). The rest are optional arguments.
SizePercentage: manages size of the window. If set to 100, uses fullscreen mode. If 10 to 100 - uses value as percentage of the current screen resolution to set width and height of terminal window. Default is 100.
CurrentUser: whether to connect using current user credentials (1) or prompt for them (0). Default is 1.
Cache: whether to attempt to save user credentials on local PC for future connections. Default is 0.
AsAdmin: whether to connect with admin (elevated) rights. Default is 0.</t>
  </si>
  <si>
    <t>Open file, folder or link sent as the argument. Expects 1st argument to be path to file or URL. Alternatively, can use a setting ID. Also accepts optional argument for date anchors.</t>
  </si>
  <si>
    <t>ServiceCheck</t>
  </si>
  <si>
    <t>CheckDir</t>
  </si>
  <si>
    <t>Checks if a directory exists. First argument is path to a directory. Second optional argument is boolean flag governing if directory needs to be created if missing (0 by default). Supports date anchors.</t>
  </si>
  <si>
    <t>Some built-in functions support expanding date anchors %YYYY%, %YY%, %MM% and %DD% into appropriate dates: current, previous or next, - depending on the value of the argument. 0 implies previous day, 2 - next day, any other value will be treated as current day. 1 is assumed by default, so normally you won't need to bother with setting it (that's why it's always the last argument).</t>
  </si>
  <si>
    <t>ListFiles</t>
  </si>
  <si>
    <t>Shows files matching the provided mask(s). First argument is a full path to file or filemask (with directory) or a list of those. If any files matching the masks are found, they are displayed. If not - appropriate messages is disaplyed. Second argument defines whether to show full path in the message or just the names of files' (default is 0, meaning only names will be shown). Supports date anchors.</t>
  </si>
  <si>
    <t>ToClipBoard</t>
  </si>
  <si>
    <t>Copies text sent as (only) argument to clipboard. Useful, since securing workbook limits what can be copied from cells</t>
  </si>
  <si>
    <t>FindInFile</t>
  </si>
  <si>
    <t>Checks if a text is present in a file. First argument is a path to the file, where second one is a regexp patter to search for. If no matches found it will be suggested to open the files (if it existed in the first place). Optional third boolean argumnet (default 0) shows up to 5 found matches, if any was found (note that it adds ".*" to beginning and end of the string). Optional forth arguments is character set name as used by ADODB (default UTF-8). Supports date anchors.</t>
  </si>
  <si>
    <t>VNCPath</t>
  </si>
  <si>
    <t>Path to VNC executable for VNC function.</t>
  </si>
  <si>
    <t>\\vkovnascti0050\tech\DataCenter\Applications\VNC\viewers\vncviewer_DSI_1022.exe</t>
  </si>
  <si>
    <t>VNC</t>
  </si>
  <si>
    <t>Launches a .vnc file (provided as mandatory and only argument) using VNC executable setup in settings. Tested with UltraVNC.</t>
  </si>
  <si>
    <t>Check for existence of files from list. If you are checking only 1 file, then 1st argument should be the path to file or a setting ID. If you are checking an actual list - use a setting ID to avoid potential issues with delimiters (for readability, you can write every path on new line - it will be trimmed). Accepts optional second argument to check file age: if older than defined value in minutes, file will be considered as missing. Optional third boolean (default 0) argument reverses the logic, that is function will fail if a file is found matching any of the masks provided (will also ignore the age argument). Supports date anchors. Will return a list of missing files (up to 10) if anything is missing or list of all found files with their timestamps and count (useful when a mask is used) if you are checking age of the files (will simply notify, if everything is present).</t>
  </si>
  <si>
    <t>AttachScreenshot</t>
  </si>
  <si>
    <t>SessionTimeOut</t>
  </si>
  <si>
    <t>Maximum life of a session in shared book</t>
  </si>
  <si>
    <t>J1</t>
  </si>
  <si>
    <t>Send mail. Arguments go in this order: subject;text;to;cc;bcc;attachment path;importance.
Only first 3 are mandatory, the rest are optional (can be skipped completely). All except Importance can use settings' IDs, which is mandatory, in case you need to send to multiple addresses, since Outlook uses semicolon (;) for addresses separation.
Importance expects values 0, 1 or 2, which stands for 'Low pirority', 'Normal', 'Important' (as per VBA). 0 is used by default, since in most cases you will be using mails for status notifications, rather than anything actually important.
Also accepts optional date anchors, which will be applied to subject, text and attachment path.</t>
  </si>
  <si>
    <t>Checks whether a Windows' service is running. First argument is service name or display name (mandatory). Second argument is optional workstation/server name where to check the service (will use current PC name if empty). Third optional argument is a boolean to auto-start the service if it's not running (0 by default). Forth optional argument is a boolean to restart the service if it's already running (0 by default). Fith optional argument is number of seconds to wait after start attempt with default of 10 seconds.</t>
  </si>
  <si>
    <t>ScreenshotsPath</t>
  </si>
  <si>
    <t>ExportCodePath</t>
  </si>
  <si>
    <t>Path to put export code into. If empty will create a SourceCode folder near the RunSheet. Not used in any automations (can be triggers manually from VBA Editor only), but is set for consistency with other settings.</t>
  </si>
  <si>
    <t>InPrivate</t>
  </si>
  <si>
    <t>Launches provided URL in a browser in Incognito/Private mode. First mandatory argument is the URL. Second optional argument is name of the browser: Internet Explorer, Google Chrome, Edge, Opera, Firefox are supported (Edge by default). Third optional argument is path to the browser (if not specified will attempt to check for x64 version and then x86 version in common locations).</t>
  </si>
  <si>
    <t>Path to save screenshots to before End Of Day. If empty will create a Screenshots folder near the RunSheet.</t>
  </si>
  <si>
    <t>Welcome, SIMBIAT-PC\simbi!</t>
  </si>
  <si>
    <t>Editor Mode is ON</t>
  </si>
  <si>
    <t>Late Mode is ON</t>
  </si>
  <si>
    <t>Special Processing</t>
  </si>
  <si>
    <t>Regular Processing</t>
  </si>
  <si>
    <t>Late only cell</t>
  </si>
  <si>
    <t>Step to be processed only in case of Late Mode</t>
  </si>
  <si>
    <t>NonFirst Special</t>
  </si>
  <si>
    <t>Regular cell 1</t>
  </si>
  <si>
    <t>Step to be skipped on first special day</t>
  </si>
  <si>
    <t>Just a regular step</t>
  </si>
  <si>
    <t>Regular cell 2</t>
  </si>
  <si>
    <t>Sample button linked to taking screenshot</t>
  </si>
  <si>
    <t>Sample Screenshot</t>
  </si>
  <si>
    <t>SampleScreenshotFunction</t>
  </si>
  <si>
    <t>SampleScreenshotArguments</t>
  </si>
  <si>
    <t>Saves screenshot in ScreenshotsPath folder set in settings. It will t hen be attached as object to backup file during End Of Day process.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</si>
</sst>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yyyy\.mm\.dd"/>
    <numFmt numFmtId="165" formatCode="yyyy\.mm\.dd\ \ hh:mm:ss"/>
    <numFmt numFmtId="166" formatCode="hh:mm"/>
    <numFmt numFmtId="167" formatCode="yyyy\.mm\.dd\ hh:mm:ss"/>
  </numFmts>
  <fonts count="23" x14ac:knownFonts="1">
    <font>
      <sz val="11"/>
      <color theme="1"/>
      <name val="Calibri"/>
      <family val="2"/>
      <charset val="204"/>
      <scheme val="minor"/>
    </font>
    <font>
      <sz val="11"/>
      <color theme="1"/>
      <name val="Calibri"/>
      <family val="2"/>
      <charset val="204"/>
      <scheme val="minor"/>
    </font>
    <font>
      <b/>
      <sz val="11"/>
      <color theme="1"/>
      <name val="Calibri"/>
      <family val="2"/>
      <charset val="204"/>
      <scheme val="minor"/>
    </font>
    <font>
      <b/>
      <sz val="11"/>
      <color rgb="FF004B00"/>
      <name val="Calibri"/>
      <family val="2"/>
      <charset val="204"/>
      <scheme val="minor"/>
    </font>
    <font>
      <b/>
      <sz val="11"/>
      <color rgb="FF502A00"/>
      <name val="Calibri"/>
      <family val="2"/>
      <charset val="204"/>
      <scheme val="minor"/>
    </font>
    <font>
      <sz val="11"/>
      <color rgb="FF8B0000"/>
      <name val="Calibri"/>
      <family val="2"/>
      <charset val="204"/>
      <scheme val="minor"/>
    </font>
    <font>
      <sz val="11"/>
      <color rgb="FF004B00"/>
      <name val="Calibri"/>
      <family val="2"/>
      <charset val="204"/>
      <scheme val="minor"/>
    </font>
    <font>
      <sz val="11"/>
      <color rgb="FF000000"/>
      <name val="Calibri"/>
      <family val="2"/>
      <charset val="204"/>
      <scheme val="minor"/>
    </font>
    <font>
      <sz val="9"/>
      <color indexed="81"/>
      <name val="Tahoma"/>
      <family val="2"/>
      <charset val="204"/>
    </font>
    <font>
      <sz val="11"/>
      <color rgb="FF92D050"/>
      <name val="Calibri"/>
      <family val="2"/>
      <charset val="204"/>
      <scheme val="minor"/>
    </font>
    <font>
      <sz val="11"/>
      <color rgb="FFFF6868"/>
      <name val="Calibri"/>
      <family val="2"/>
      <charset val="204"/>
      <scheme val="minor"/>
    </font>
    <font>
      <sz val="11"/>
      <color rgb="FFA6A6A6"/>
      <name val="Calibri"/>
      <family val="2"/>
      <charset val="204"/>
      <scheme val="minor"/>
    </font>
    <font>
      <sz val="11"/>
      <color rgb="FFFFC000"/>
      <name val="Calibri"/>
      <family val="2"/>
      <charset val="204"/>
      <scheme val="minor"/>
    </font>
    <font>
      <sz val="11"/>
      <color rgb="FF502A00"/>
      <name val="Calibri"/>
      <family val="2"/>
      <charset val="204"/>
      <scheme val="minor"/>
    </font>
    <font>
      <sz val="11"/>
      <color rgb="FFFFD700"/>
      <name val="Calibri"/>
      <family val="2"/>
      <charset val="204"/>
      <scheme val="minor"/>
    </font>
    <font>
      <sz val="11"/>
      <color rgb="FF808080"/>
      <name val="Calibri"/>
      <family val="2"/>
      <charset val="204"/>
      <scheme val="minor"/>
    </font>
    <font>
      <b/>
      <u/>
      <sz val="11"/>
      <color theme="1"/>
      <name val="Calibri"/>
      <family val="2"/>
      <charset val="204"/>
      <scheme val="minor"/>
    </font>
    <font>
      <sz val="11"/>
      <color rgb="FFFFFFFF"/>
      <name val="Calibri"/>
      <family val="2"/>
      <charset val="204"/>
      <scheme val="minor"/>
    </font>
    <font>
      <b/>
      <sz val="11"/>
      <color rgb="FF000000"/>
      <name val="Calibri"/>
      <family val="2"/>
      <charset val="204"/>
      <scheme val="minor"/>
    </font>
    <font>
      <b/>
      <sz val="11"/>
      <color rgb="FFFF0000"/>
      <name val="Calibri"/>
      <family val="2"/>
      <charset val="204"/>
      <scheme val="minor"/>
    </font>
    <font>
      <b/>
      <sz val="11"/>
      <color rgb="FF8B0000"/>
      <name val="Calibri"/>
      <family val="2"/>
      <charset val="204"/>
      <scheme val="minor"/>
    </font>
    <font>
      <u/>
      <sz val="10"/>
      <color rgb="FF800080"/>
      <name val="Arial"/>
      <family val="2"/>
      <charset val="204"/>
    </font>
    <font>
      <sz val="8"/>
      <name val="Calibri"/>
      <family val="2"/>
      <charset val="204"/>
      <scheme val="minor"/>
    </font>
  </fonts>
  <fills count="12">
    <fill>
      <patternFill patternType="none"/>
    </fill>
    <fill>
      <patternFill patternType="gray125"/>
    </fill>
    <fill>
      <patternFill patternType="solid">
        <fgColor rgb="FF90EE90"/>
        <bgColor indexed="64"/>
      </patternFill>
    </fill>
    <fill>
      <patternFill patternType="solid">
        <fgColor rgb="FFFFD700"/>
        <bgColor indexed="64"/>
      </patternFill>
    </fill>
    <fill>
      <patternFill patternType="solid">
        <fgColor rgb="FFFFCCCB"/>
        <bgColor indexed="64"/>
      </patternFill>
    </fill>
    <fill>
      <patternFill patternType="solid">
        <fgColor rgb="FF92D050"/>
        <bgColor indexed="64"/>
      </patternFill>
    </fill>
    <fill>
      <patternFill patternType="solid">
        <fgColor rgb="FF000000"/>
        <bgColor indexed="64"/>
      </patternFill>
    </fill>
    <fill>
      <patternFill patternType="solid">
        <fgColor rgb="FFFF6868"/>
        <bgColor indexed="64"/>
      </patternFill>
    </fill>
    <fill>
      <patternFill patternType="solid">
        <fgColor rgb="FFA6A6A6"/>
        <bgColor indexed="64"/>
      </patternFill>
    </fill>
    <fill>
      <patternFill patternType="solid">
        <fgColor rgb="FFFFC000"/>
        <bgColor indexed="64"/>
      </patternFill>
    </fill>
    <fill>
      <patternFill patternType="solid">
        <fgColor rgb="FF502A00"/>
        <bgColor indexed="64"/>
      </patternFill>
    </fill>
    <fill>
      <patternFill patternType="solid">
        <fgColor rgb="FF808080"/>
        <bgColor indexed="64"/>
      </patternFill>
    </fill>
  </fills>
  <borders count="14">
    <border>
      <left/>
      <right/>
      <top/>
      <bottom/>
      <diagonal/>
    </border>
    <border>
      <left style="thick">
        <color rgb="FFC4F6C4"/>
      </left>
      <right style="thick">
        <color rgb="FF4D7F4D"/>
      </right>
      <top style="thick">
        <color rgb="FFC4F6C4"/>
      </top>
      <bottom style="thick">
        <color rgb="FF4D7F4D"/>
      </bottom>
      <diagonal/>
    </border>
    <border>
      <left style="thick">
        <color rgb="FFFFEA77"/>
      </left>
      <right style="thick">
        <color rgb="FF887300"/>
      </right>
      <top style="thick">
        <color rgb="FFFFEA77"/>
      </top>
      <bottom style="thick">
        <color rgb="FF887300"/>
      </bottom>
      <diagonal/>
    </border>
    <border>
      <left style="thin">
        <color rgb="FF8B0000"/>
      </left>
      <right style="thin">
        <color rgb="FF8B0000"/>
      </right>
      <top style="thin">
        <color rgb="FF8B0000"/>
      </top>
      <bottom style="thin">
        <color rgb="FF8B0000"/>
      </bottom>
      <diagonal/>
    </border>
    <border>
      <left style="thin">
        <color rgb="FF004B00"/>
      </left>
      <right style="thin">
        <color rgb="FF004B00"/>
      </right>
      <top style="thin">
        <color rgb="FF004B00"/>
      </top>
      <bottom style="thin">
        <color rgb="FF004B00"/>
      </bottom>
      <diagonal/>
    </border>
    <border>
      <left style="thin">
        <color rgb="FF000000"/>
      </left>
      <right style="thin">
        <color rgb="FF000000"/>
      </right>
      <top style="thin">
        <color rgb="FF000000"/>
      </top>
      <bottom style="thin">
        <color rgb="FF000000"/>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rgb="FF808080"/>
      </left>
      <right style="thin">
        <color rgb="FF808080"/>
      </right>
      <top style="thin">
        <color rgb="FF808080"/>
      </top>
      <bottom style="thin">
        <color rgb="FF808080"/>
      </bottom>
      <diagonal/>
    </border>
    <border>
      <left style="medium">
        <color indexed="64"/>
      </left>
      <right/>
      <top/>
      <bottom style="medium">
        <color indexed="64"/>
      </bottom>
      <diagonal/>
    </border>
    <border>
      <left style="thick">
        <color rgb="FFFF0000"/>
      </left>
      <right style="thick">
        <color rgb="FFFF0000"/>
      </right>
      <top style="thick">
        <color rgb="FFFF0000"/>
      </top>
      <bottom style="thick">
        <color rgb="FFFF0000"/>
      </bottom>
      <diagonal/>
    </border>
    <border>
      <left style="thick">
        <color rgb="FFFFE4E3"/>
      </left>
      <right style="thick">
        <color rgb="FF886D6C"/>
      </right>
      <top style="thick">
        <color rgb="FFFFE4E3"/>
      </top>
      <bottom style="thick">
        <color rgb="FF886D6C"/>
      </bottom>
      <diagonal/>
    </border>
    <border>
      <left style="thin">
        <color rgb="FF000000"/>
      </left>
      <right style="medium">
        <color indexed="64"/>
      </right>
      <top/>
      <bottom style="medium">
        <color indexed="64"/>
      </bottom>
      <diagonal/>
    </border>
  </borders>
  <cellStyleXfs count="26">
    <xf numFmtId="0" fontId="0" fillId="0" borderId="0"/>
    <xf numFmtId="164" fontId="1" fillId="0" borderId="0">
      <alignment horizontal="center" vertical="center"/>
      <protection locked="0" hidden="1"/>
    </xf>
    <xf numFmtId="0" fontId="3" fillId="2" borderId="1">
      <alignment horizontal="center" vertical="center"/>
      <protection locked="0" hidden="1"/>
    </xf>
    <xf numFmtId="0" fontId="4" fillId="3" borderId="2">
      <alignment horizontal="center" vertical="center"/>
      <protection hidden="1"/>
    </xf>
    <xf numFmtId="0" fontId="5" fillId="4" borderId="3">
      <alignment horizontal="center" vertical="center"/>
      <protection hidden="1"/>
    </xf>
    <xf numFmtId="0" fontId="6" fillId="2" borderId="4">
      <alignment horizontal="center" vertical="center"/>
      <protection hidden="1"/>
    </xf>
    <xf numFmtId="49" fontId="1" fillId="0" borderId="5">
      <alignment vertical="center"/>
      <protection hidden="1"/>
    </xf>
    <xf numFmtId="49" fontId="2" fillId="0" borderId="5">
      <alignment horizontal="left" vertical="center"/>
      <protection hidden="1"/>
    </xf>
    <xf numFmtId="0" fontId="7" fillId="0" borderId="5">
      <alignment horizontal="left" vertical="center" wrapText="1"/>
      <protection hidden="1"/>
    </xf>
    <xf numFmtId="166" fontId="7" fillId="0" borderId="5">
      <alignment horizontal="left" vertical="center"/>
      <protection hidden="1"/>
    </xf>
    <xf numFmtId="167" fontId="1" fillId="0" borderId="0">
      <alignment horizontal="center" vertical="center"/>
      <protection locked="0" hidden="1"/>
    </xf>
    <xf numFmtId="49" fontId="1" fillId="0" borderId="0">
      <alignment horizontal="center" vertical="center"/>
      <protection locked="0" hidden="1"/>
    </xf>
    <xf numFmtId="49" fontId="1" fillId="0" borderId="5">
      <alignment vertical="center"/>
      <protection hidden="1"/>
    </xf>
    <xf numFmtId="49" fontId="15" fillId="11" borderId="9">
      <alignment horizontal="center" vertical="center"/>
      <protection hidden="1"/>
    </xf>
    <xf numFmtId="166" fontId="19" fillId="0" borderId="11">
      <alignment horizontal="left" vertical="center"/>
      <protection hidden="1"/>
    </xf>
    <xf numFmtId="0" fontId="20" fillId="4" borderId="12">
      <alignment horizontal="center" vertical="center"/>
      <protection locked="0" hidden="1"/>
    </xf>
    <xf numFmtId="167" fontId="7" fillId="5" borderId="5">
      <alignment horizontal="center" vertical="center"/>
      <protection locked="0" hidden="1"/>
    </xf>
    <xf numFmtId="49" fontId="7" fillId="5" borderId="5">
      <alignment horizontal="center" vertical="center"/>
      <protection locked="0" hidden="1"/>
    </xf>
    <xf numFmtId="167" fontId="7" fillId="9" borderId="5">
      <alignment horizontal="center" vertical="center"/>
      <protection locked="0" hidden="1"/>
    </xf>
    <xf numFmtId="49" fontId="7" fillId="9" borderId="5">
      <alignment horizontal="center" vertical="center"/>
      <protection locked="0" hidden="1"/>
    </xf>
    <xf numFmtId="167" fontId="7" fillId="7" borderId="5">
      <alignment horizontal="center" vertical="center"/>
      <protection locked="0" hidden="1"/>
    </xf>
    <xf numFmtId="49" fontId="7" fillId="7" borderId="5">
      <alignment horizontal="center" vertical="center"/>
      <protection locked="0" hidden="1"/>
    </xf>
    <xf numFmtId="167" fontId="7" fillId="8" borderId="5">
      <alignment horizontal="center" vertical="center"/>
      <protection locked="0" hidden="1"/>
    </xf>
    <xf numFmtId="49" fontId="7" fillId="8" borderId="5">
      <alignment horizontal="center" vertical="center"/>
      <protection locked="0" hidden="1"/>
    </xf>
    <xf numFmtId="0" fontId="21" fillId="0" borderId="0" applyNumberFormat="0" applyFill="0" applyBorder="0" applyAlignment="0" applyProtection="0"/>
    <xf numFmtId="0" fontId="2" fillId="0" borderId="0">
      <alignment horizontal="center" vertical="center"/>
      <protection hidden="1"/>
    </xf>
  </cellStyleXfs>
  <cellXfs count="48">
    <xf numFmtId="0" fontId="0" fillId="0" borderId="0" xfId="0"/>
    <xf numFmtId="0" fontId="0" fillId="0" borderId="0" xfId="0" applyProtection="1"/>
    <xf numFmtId="0" fontId="2" fillId="0" borderId="0" xfId="0" applyFont="1" applyProtection="1"/>
    <xf numFmtId="0" fontId="2" fillId="0" borderId="0" xfId="0" applyFont="1" applyAlignment="1" applyProtection="1">
      <alignment horizontal="centerContinuous" vertical="center"/>
    </xf>
    <xf numFmtId="165" fontId="2" fillId="0" borderId="0" xfId="0" applyNumberFormat="1" applyFont="1" applyProtection="1"/>
    <xf numFmtId="164" fontId="0" fillId="0" borderId="0" xfId="0" applyNumberFormat="1" applyProtection="1"/>
    <xf numFmtId="0" fontId="16" fillId="0" borderId="6" xfId="0" applyFont="1" applyBorder="1" applyAlignment="1" applyProtection="1">
      <alignment vertical="center"/>
    </xf>
    <xf numFmtId="0" fontId="16" fillId="0" borderId="7" xfId="0" applyFont="1" applyBorder="1" applyAlignment="1" applyProtection="1">
      <alignment vertical="center"/>
    </xf>
    <xf numFmtId="0" fontId="16" fillId="0" borderId="6" xfId="0" applyFont="1" applyBorder="1" applyProtection="1"/>
    <xf numFmtId="0" fontId="16" fillId="0" borderId="7" xfId="0" applyFont="1" applyBorder="1" applyProtection="1"/>
    <xf numFmtId="0" fontId="16" fillId="0" borderId="0" xfId="0" applyFont="1" applyProtection="1"/>
    <xf numFmtId="0" fontId="2" fillId="0" borderId="8" xfId="0" applyFont="1" applyBorder="1" applyAlignment="1" applyProtection="1">
      <alignment vertical="center"/>
    </xf>
    <xf numFmtId="0" fontId="2" fillId="0" borderId="0" xfId="0" applyFont="1" applyAlignment="1" applyProtection="1">
      <alignment vertical="center"/>
    </xf>
    <xf numFmtId="0" fontId="16" fillId="0" borderId="7" xfId="0" applyFont="1" applyBorder="1" applyAlignment="1" applyProtection="1">
      <alignment vertical="center" wrapText="1"/>
    </xf>
    <xf numFmtId="0" fontId="18" fillId="5" borderId="5" xfId="0" applyFont="1" applyFill="1" applyBorder="1" applyAlignment="1" applyProtection="1">
      <alignment vertical="center"/>
    </xf>
    <xf numFmtId="0" fontId="18" fillId="9" borderId="5" xfId="0" applyFont="1" applyFill="1" applyBorder="1" applyAlignment="1" applyProtection="1">
      <alignment vertical="center"/>
    </xf>
    <xf numFmtId="0" fontId="18" fillId="7" borderId="5" xfId="0" applyFont="1" applyFill="1" applyBorder="1" applyAlignment="1" applyProtection="1">
      <alignment vertical="center"/>
    </xf>
    <xf numFmtId="0" fontId="18" fillId="8" borderId="5" xfId="0" applyFont="1" applyFill="1" applyBorder="1" applyAlignment="1" applyProtection="1">
      <alignment vertical="center"/>
    </xf>
    <xf numFmtId="0" fontId="2" fillId="0" borderId="10" xfId="0" applyFont="1" applyBorder="1" applyAlignment="1" applyProtection="1">
      <alignment vertical="center"/>
    </xf>
    <xf numFmtId="0" fontId="0" fillId="0" borderId="10" xfId="0" applyBorder="1" applyProtection="1"/>
    <xf numFmtId="0" fontId="0" fillId="0" borderId="8" xfId="0" applyBorder="1" applyProtection="1"/>
    <xf numFmtId="0" fontId="7" fillId="0" borderId="13" xfId="8" applyFill="1" applyBorder="1" applyProtection="1">
      <alignment horizontal="left" vertical="center" wrapText="1"/>
      <protection hidden="1"/>
    </xf>
    <xf numFmtId="0" fontId="2" fillId="0" borderId="0" xfId="0" applyFont="1" applyFill="1" applyBorder="1" applyAlignment="1" applyProtection="1">
      <alignment vertical="center"/>
    </xf>
    <xf numFmtId="0" fontId="6" fillId="2" borderId="4" xfId="5">
      <alignment horizontal="center" vertical="center"/>
      <protection hidden="1"/>
    </xf>
    <xf numFmtId="49" fontId="2" fillId="0" borderId="5" xfId="7">
      <alignment horizontal="left" vertical="center"/>
      <protection hidden="1"/>
    </xf>
    <xf numFmtId="0" fontId="7" fillId="0" borderId="5" xfId="8">
      <alignment horizontal="left" vertical="center" wrapText="1"/>
      <protection hidden="1"/>
    </xf>
    <xf numFmtId="166" fontId="7" fillId="0" borderId="5" xfId="9">
      <alignment horizontal="left" vertical="center"/>
      <protection hidden="1"/>
    </xf>
    <xf numFmtId="49" fontId="1" fillId="0" borderId="0" xfId="11">
      <alignment horizontal="center" vertical="center"/>
      <protection locked="0" hidden="1"/>
    </xf>
    <xf numFmtId="167" fontId="1" fillId="0" borderId="0" xfId="10">
      <alignment horizontal="center" vertical="center"/>
      <protection locked="0" hidden="1"/>
    </xf>
    <xf numFmtId="49" fontId="15" fillId="11" borderId="9" xfId="13">
      <alignment horizontal="center" vertical="center"/>
      <protection hidden="1"/>
    </xf>
    <xf numFmtId="49" fontId="1" fillId="0" borderId="5" xfId="12">
      <alignment vertical="center"/>
      <protection hidden="1"/>
    </xf>
    <xf numFmtId="0" fontId="5" fillId="4" borderId="3" xfId="4">
      <alignment horizontal="center" vertical="center"/>
      <protection hidden="1"/>
    </xf>
    <xf numFmtId="0" fontId="9" fillId="5" borderId="5" xfId="8" applyFont="1" applyFill="1">
      <alignment horizontal="left" vertical="center" wrapText="1"/>
      <protection hidden="1"/>
    </xf>
    <xf numFmtId="0" fontId="7" fillId="6" borderId="5" xfId="8" applyFont="1" applyFill="1">
      <alignment horizontal="left" vertical="center" wrapText="1"/>
      <protection hidden="1"/>
    </xf>
    <xf numFmtId="0" fontId="10" fillId="7" borderId="5" xfId="8" applyFont="1" applyFill="1">
      <alignment horizontal="left" vertical="center" wrapText="1"/>
      <protection hidden="1"/>
    </xf>
    <xf numFmtId="0" fontId="11" fillId="8" borderId="5" xfId="8" applyFont="1" applyFill="1">
      <alignment horizontal="left" vertical="center" wrapText="1"/>
      <protection hidden="1"/>
    </xf>
    <xf numFmtId="0" fontId="12" fillId="9" borderId="5" xfId="8" applyFont="1" applyFill="1">
      <alignment horizontal="left" vertical="center" wrapText="1"/>
      <protection hidden="1"/>
    </xf>
    <xf numFmtId="0" fontId="13" fillId="10" borderId="5" xfId="8" applyFont="1" applyFill="1">
      <alignment horizontal="left" vertical="center" wrapText="1"/>
      <protection hidden="1"/>
    </xf>
    <xf numFmtId="0" fontId="14" fillId="3" borderId="5" xfId="8" applyFont="1" applyFill="1">
      <alignment horizontal="left" vertical="center" wrapText="1"/>
      <protection hidden="1"/>
    </xf>
    <xf numFmtId="0" fontId="15" fillId="11" borderId="5" xfId="8" applyFont="1" applyFill="1">
      <alignment horizontal="left" vertical="center" wrapText="1"/>
      <protection hidden="1"/>
    </xf>
    <xf numFmtId="49" fontId="1" fillId="0" borderId="5" xfId="6">
      <alignment vertical="center"/>
      <protection hidden="1"/>
    </xf>
    <xf numFmtId="0" fontId="4" fillId="3" borderId="2" xfId="3">
      <alignment horizontal="center" vertical="center"/>
      <protection hidden="1"/>
    </xf>
    <xf numFmtId="164" fontId="1" fillId="0" borderId="0" xfId="1">
      <alignment horizontal="center" vertical="center"/>
      <protection locked="0" hidden="1"/>
    </xf>
    <xf numFmtId="0" fontId="20" fillId="4" borderId="12" xfId="15">
      <alignment horizontal="center" vertical="center"/>
      <protection locked="0" hidden="1"/>
    </xf>
    <xf numFmtId="166" fontId="19" fillId="0" borderId="11" xfId="14">
      <alignment horizontal="left" vertical="center"/>
      <protection hidden="1"/>
    </xf>
    <xf numFmtId="0" fontId="2" fillId="0" borderId="0" xfId="25">
      <alignment horizontal="center" vertical="center"/>
      <protection hidden="1"/>
    </xf>
    <xf numFmtId="49" fontId="17" fillId="11" borderId="9" xfId="13" applyFont="1">
      <alignment horizontal="center" vertical="center"/>
      <protection hidden="1"/>
    </xf>
    <xf numFmtId="0" fontId="7" fillId="0" borderId="5" xfId="8" quotePrefix="1">
      <alignment horizontal="left" vertical="center" wrapText="1"/>
      <protection hidden="1"/>
    </xf>
  </cellXfs>
  <cellStyles count="26">
    <cellStyle name="Followed Hyperlink" xfId="24" builtinId="9" customBuiltin="1"/>
    <cellStyle name="Normal" xfId="0" builtinId="0"/>
    <cellStyle name="RunSheetBooleanFalse" xfId="4" xr:uid="{D7CF3F94-0D9D-4320-AC77-180689698CCF}"/>
    <cellStyle name="RunSheetBooleanTrue" xfId="5" xr:uid="{4D601823-80A6-493D-88DC-9F686A707550}"/>
    <cellStyle name="RunSheetButton" xfId="3" xr:uid="{73CCA78F-83C7-4C1E-BBBA-327283B622F9}"/>
    <cellStyle name="RunSheetButtonFalse" xfId="15" xr:uid="{43A8C5D4-6F10-4096-9652-02BC67E159BC}"/>
    <cellStyle name="RunSheetButtonTrue" xfId="2" xr:uid="{D70A5093-A825-4E30-8B21-D719C6AFAD77}"/>
    <cellStyle name="RunSheetDateCell" xfId="1" xr:uid="{CF12BCDE-565B-4187-8841-DF81D8DE42AE}"/>
    <cellStyle name="RunSheetDateTimeCell" xfId="10" xr:uid="{5AD14AD8-CA60-4FEF-99CC-8A0AEFC49213}"/>
    <cellStyle name="RunSheetDateTimeCellCompleted" xfId="16" xr:uid="{490907CC-D7CC-41D6-857E-C03C942E2887}"/>
    <cellStyle name="RunSheetDateTimeCellFailed" xfId="20" xr:uid="{D792B737-5A2D-4BE9-9480-69F0FDF485EF}"/>
    <cellStyle name="RunSheetDateTimeCellInProgress" xfId="18" xr:uid="{39354D1D-7A54-4A59-82CD-A3A73EABBE83}"/>
    <cellStyle name="RunSheetDateTimeCellSkipped" xfId="22" xr:uid="{94779229-2925-4BF1-BE9E-374C2417AC31}"/>
    <cellStyle name="RunSheetDelimiter" xfId="13" xr:uid="{623E8EA7-D698-48C3-AE62-37D56A5D1028}"/>
    <cellStyle name="RunSheetDescription" xfId="8" xr:uid="{DB591806-7745-45D3-B7DB-E10E1E0DCA2F}"/>
    <cellStyle name="RunSheetMissedTime" xfId="14" xr:uid="{2C820A66-B7D8-4634-9371-07E83CCCE5E5}"/>
    <cellStyle name="RunSheetSettingType" xfId="12" xr:uid="{A3A62570-CB13-4956-A1FB-D8B780B9C15D}"/>
    <cellStyle name="RunSheetStatusCell" xfId="11" xr:uid="{B6D9015A-7EDF-4594-A855-735C12D49816}"/>
    <cellStyle name="RunSheetStatusCellCompleted" xfId="17" xr:uid="{CFA3ED55-F4D9-47D0-A591-89AC2E509FA2}"/>
    <cellStyle name="RunSheetStatusCellFailed" xfId="21" xr:uid="{F1F794A4-DB84-49A3-AB18-E74401957E67}"/>
    <cellStyle name="RunSheetStatusCellInProgress" xfId="19" xr:uid="{35E65091-02E6-40D8-A60C-5139AABA1697}"/>
    <cellStyle name="RunSheetStatusCellSkipped" xfId="23" xr:uid="{27A1630C-F07C-4F51-B7BD-3831DD2EAE0F}"/>
    <cellStyle name="RunSheetStepName" xfId="7" xr:uid="{12032F5C-AA4B-4733-82B2-7374007CEC7B}"/>
    <cellStyle name="RunSheetStepType" xfId="6" xr:uid="{04B6B7D5-EA02-4D0E-8615-91420BB95B7F}"/>
    <cellStyle name="RunSheetTimeCell" xfId="9" xr:uid="{5F63BA2E-E30D-40C4-B170-49C2E0F1F051}"/>
    <cellStyle name="RunSheetWelcomeCell" xfId="25" xr:uid="{61084F27-628A-4E32-8EDE-014B5614D21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AC69B-44F1-4751-AC82-2758755E6045}">
  <sheetPr codeName="RunSheet"/>
  <dimension ref="A1:O12"/>
  <sheetViews>
    <sheetView tabSelected="1" zoomScaleNormal="100" workbookViewId="0">
      <pane ySplit="4" topLeftCell="A5" activePane="bottomLeft" state="frozenSplit"/>
      <selection pane="bottomLeft" activeCell="O5" sqref="O5"/>
    </sheetView>
  </sheetViews>
  <sheetFormatPr defaultRowHeight="14.25" x14ac:dyDescent="0.45"/>
  <cols>
    <col min="1" max="1" width="13.33203125" style="1" customWidth="1"/>
    <col min="2" max="2" width="13.3984375" style="1" customWidth="1"/>
    <col min="3" max="3" width="16.1328125" style="1" customWidth="1"/>
    <col min="4" max="4" width="13.1328125" style="1" customWidth="1"/>
    <col min="5" max="5" width="17.86328125" style="1" customWidth="1"/>
    <col min="6" max="6" width="17.59765625" style="1" customWidth="1"/>
    <col min="7" max="7" width="8.06640625" style="1" customWidth="1"/>
    <col min="8" max="8" width="16" style="1" bestFit="1" customWidth="1"/>
    <col min="9" max="9" width="16.33203125" style="1" bestFit="1" customWidth="1"/>
    <col min="10" max="10" width="64.59765625" style="1" customWidth="1"/>
    <col min="11" max="11" width="10.796875" style="1" customWidth="1"/>
    <col min="12" max="12" width="10" style="1" customWidth="1"/>
    <col min="13" max="13" width="17.33203125" style="1" bestFit="1" customWidth="1"/>
    <col min="14" max="14" width="14.9296875" style="1" bestFit="1" customWidth="1"/>
    <col min="15" max="15" width="9.6640625" style="1" bestFit="1" customWidth="1"/>
    <col min="16" max="16384" width="9.06640625" style="1"/>
  </cols>
  <sheetData>
    <row r="1" spans="1:15" ht="14.65" thickBot="1" x14ac:dyDescent="0.5">
      <c r="J1" s="45" t="s">
        <v>255</v>
      </c>
      <c r="K1" s="3"/>
      <c r="L1" s="3"/>
      <c r="M1" s="3"/>
      <c r="N1" s="2" t="s">
        <v>0</v>
      </c>
      <c r="O1" s="42">
        <v>44007</v>
      </c>
    </row>
    <row r="2" spans="1:15" ht="15" thickTop="1" thickBot="1" x14ac:dyDescent="0.5">
      <c r="I2" s="43" t="s">
        <v>257</v>
      </c>
      <c r="M2" s="41" t="s">
        <v>1</v>
      </c>
      <c r="N2" s="2" t="s">
        <v>2</v>
      </c>
      <c r="O2" s="42">
        <v>44006</v>
      </c>
    </row>
    <row r="3" spans="1:15" ht="15" thickTop="1" thickBot="1" x14ac:dyDescent="0.5">
      <c r="I3" s="43" t="s">
        <v>256</v>
      </c>
      <c r="N3" s="2" t="s">
        <v>3</v>
      </c>
      <c r="O3" s="42">
        <v>44008</v>
      </c>
    </row>
    <row r="4" spans="1:15" ht="15" thickTop="1" thickBot="1" x14ac:dyDescent="0.5">
      <c r="A4" s="2" t="s">
        <v>4</v>
      </c>
      <c r="B4" s="2" t="s">
        <v>5</v>
      </c>
      <c r="C4" s="2" t="s">
        <v>6</v>
      </c>
      <c r="D4" s="2" t="s">
        <v>7</v>
      </c>
      <c r="E4" s="2" t="s">
        <v>8</v>
      </c>
      <c r="F4" s="2" t="s">
        <v>9</v>
      </c>
      <c r="G4" s="2" t="s">
        <v>10</v>
      </c>
      <c r="H4" s="2" t="s">
        <v>11</v>
      </c>
      <c r="I4" s="2" t="s">
        <v>12</v>
      </c>
      <c r="J4" s="2" t="s">
        <v>13</v>
      </c>
      <c r="K4" s="2" t="s">
        <v>14</v>
      </c>
      <c r="L4" s="2" t="s">
        <v>15</v>
      </c>
      <c r="M4" s="4" t="s">
        <v>16</v>
      </c>
      <c r="N4" s="2" t="s">
        <v>17</v>
      </c>
      <c r="O4" s="2" t="s">
        <v>18</v>
      </c>
    </row>
    <row r="5" spans="1:15" ht="15" thickTop="1" thickBot="1" x14ac:dyDescent="0.5">
      <c r="A5" s="23" t="b">
        <v>1</v>
      </c>
      <c r="B5" s="23" t="b">
        <v>1</v>
      </c>
      <c r="C5" s="23" t="b">
        <v>1</v>
      </c>
      <c r="D5" s="23" t="b">
        <v>1</v>
      </c>
      <c r="E5" s="23" t="b">
        <v>1</v>
      </c>
      <c r="F5" s="23" t="b">
        <v>1</v>
      </c>
      <c r="G5" s="40" t="s">
        <v>19</v>
      </c>
      <c r="H5" s="24" t="s">
        <v>258</v>
      </c>
      <c r="I5" s="24" t="s">
        <v>260</v>
      </c>
      <c r="J5" s="25" t="s">
        <v>261</v>
      </c>
      <c r="K5" s="26">
        <v>0.29166666666666669</v>
      </c>
      <c r="L5" s="44">
        <v>0.375</v>
      </c>
      <c r="M5" s="28"/>
      <c r="N5" s="27"/>
      <c r="O5" s="27"/>
    </row>
    <row r="6" spans="1:15" ht="15" thickTop="1" thickBot="1" x14ac:dyDescent="0.5">
      <c r="A6" s="31" t="b">
        <v>0</v>
      </c>
      <c r="B6" s="31" t="b">
        <v>0</v>
      </c>
      <c r="C6" s="23" t="b">
        <v>1</v>
      </c>
      <c r="D6" s="23" t="b">
        <v>1</v>
      </c>
      <c r="E6" s="23" t="b">
        <v>1</v>
      </c>
      <c r="F6" s="23" t="b">
        <v>1</v>
      </c>
      <c r="G6" s="40" t="s">
        <v>19</v>
      </c>
      <c r="H6" s="24" t="s">
        <v>258</v>
      </c>
      <c r="I6" s="24" t="s">
        <v>262</v>
      </c>
      <c r="J6" s="25" t="s">
        <v>264</v>
      </c>
      <c r="K6" s="26">
        <v>0.29166666666666669</v>
      </c>
      <c r="L6" s="44">
        <v>0.375</v>
      </c>
      <c r="M6" s="28"/>
      <c r="N6" s="27"/>
      <c r="O6" s="27"/>
    </row>
    <row r="7" spans="1:15" ht="14.65" thickTop="1" x14ac:dyDescent="0.45">
      <c r="A7" s="31" t="b">
        <v>0</v>
      </c>
      <c r="B7" s="23" t="b">
        <v>1</v>
      </c>
      <c r="C7" s="23" t="b">
        <v>1</v>
      </c>
      <c r="D7" s="23" t="b">
        <v>1</v>
      </c>
      <c r="E7" s="23" t="b">
        <v>1</v>
      </c>
      <c r="F7" s="23" t="b">
        <v>1</v>
      </c>
      <c r="G7" s="40" t="s">
        <v>20</v>
      </c>
      <c r="H7" s="29" t="s">
        <v>215</v>
      </c>
      <c r="I7" s="29" t="s">
        <v>20</v>
      </c>
      <c r="J7" s="29"/>
      <c r="K7" s="29"/>
      <c r="L7" s="29"/>
      <c r="M7" s="29"/>
      <c r="N7" s="29"/>
      <c r="O7" s="29"/>
    </row>
    <row r="8" spans="1:15" ht="14.65" thickBot="1" x14ac:dyDescent="0.5">
      <c r="A8" s="31" t="b">
        <v>0</v>
      </c>
      <c r="B8" s="23" t="b">
        <v>1</v>
      </c>
      <c r="C8" s="23" t="b">
        <v>1</v>
      </c>
      <c r="D8" s="23" t="b">
        <v>1</v>
      </c>
      <c r="E8" s="23" t="b">
        <v>1</v>
      </c>
      <c r="F8" s="23" t="b">
        <v>1</v>
      </c>
      <c r="G8" s="40" t="s">
        <v>19</v>
      </c>
      <c r="H8" s="24" t="s">
        <v>259</v>
      </c>
      <c r="I8" s="24" t="s">
        <v>263</v>
      </c>
      <c r="J8" s="25" t="s">
        <v>265</v>
      </c>
      <c r="K8" s="26">
        <v>0</v>
      </c>
      <c r="L8" s="26">
        <v>0.99930555555555556</v>
      </c>
      <c r="M8" s="28"/>
      <c r="N8" s="27"/>
      <c r="O8" s="27"/>
    </row>
    <row r="9" spans="1:15" ht="15" thickTop="1" thickBot="1" x14ac:dyDescent="0.5">
      <c r="A9" s="31" t="b">
        <v>0</v>
      </c>
      <c r="B9" s="23" t="b">
        <v>1</v>
      </c>
      <c r="C9" s="23" t="b">
        <v>1</v>
      </c>
      <c r="D9" s="23" t="b">
        <v>1</v>
      </c>
      <c r="E9" s="23" t="b">
        <v>1</v>
      </c>
      <c r="F9" s="23" t="b">
        <v>1</v>
      </c>
      <c r="G9" s="40" t="s">
        <v>21</v>
      </c>
      <c r="H9" s="24" t="s">
        <v>259</v>
      </c>
      <c r="I9" s="41" t="s">
        <v>268</v>
      </c>
      <c r="J9" s="25" t="s">
        <v>267</v>
      </c>
      <c r="K9" s="26">
        <v>0</v>
      </c>
      <c r="L9" s="26">
        <v>0.99930555555555556</v>
      </c>
      <c r="M9" s="28"/>
      <c r="N9" s="27"/>
      <c r="O9" s="27"/>
    </row>
    <row r="10" spans="1:15" ht="15" thickTop="1" thickBot="1" x14ac:dyDescent="0.5">
      <c r="A10" s="31" t="b">
        <v>0</v>
      </c>
      <c r="B10" s="23" t="b">
        <v>1</v>
      </c>
      <c r="C10" s="23" t="b">
        <v>1</v>
      </c>
      <c r="D10" s="23" t="b">
        <v>1</v>
      </c>
      <c r="E10" s="23" t="b">
        <v>1</v>
      </c>
      <c r="F10" s="23" t="b">
        <v>1</v>
      </c>
      <c r="G10" s="40" t="s">
        <v>19</v>
      </c>
      <c r="H10" s="24" t="s">
        <v>259</v>
      </c>
      <c r="I10" s="24" t="s">
        <v>266</v>
      </c>
      <c r="J10" s="25" t="s">
        <v>265</v>
      </c>
      <c r="K10" s="26">
        <v>0</v>
      </c>
      <c r="L10" s="26">
        <v>0.99930555555555556</v>
      </c>
      <c r="M10" s="28"/>
      <c r="N10" s="27"/>
      <c r="O10" s="27"/>
    </row>
    <row r="11" spans="1:15" ht="15" thickTop="1" thickBot="1" x14ac:dyDescent="0.5">
      <c r="G11" s="41" t="s">
        <v>204</v>
      </c>
    </row>
    <row r="12" spans="1:15" ht="14.65" thickTop="1" x14ac:dyDescent="0.45"/>
  </sheetData>
  <sheetProtection formatCells="0" formatColumns="0" formatRows="0" autoFilter="0"/>
  <autoFilter ref="A4:O4" xr:uid="{47640093-E9ED-4A42-A5D6-12DCBF8AE003}"/>
  <phoneticPr fontId="22" type="noConversion"/>
  <dataValidations count="4">
    <dataValidation type="textLength" showDropDown="1" showErrorMessage="1" sqref="I8 I10 H5:I6 H8:H10" xr:uid="{5B23D843-93DE-4698-B955-D00B1F3C9DEE}">
      <formula1>1</formula1>
      <formula2>32</formula2>
    </dataValidation>
    <dataValidation type="list" showErrorMessage="1" sqref="G5:G11" xr:uid="{BE99EB0C-A3FB-423A-8355-504031ECC492}">
      <formula1>"Regular,Button,Delimiter"</formula1>
    </dataValidation>
    <dataValidation type="list" allowBlank="1" sqref="A5:F10" xr:uid="{E8D85ACF-34EA-4FB6-B517-C29285EE3334}">
      <formula1>"TRUE,FALSE"</formula1>
    </dataValidation>
    <dataValidation type="list" allowBlank="1" sqref="O8:O10 O5:O6" xr:uid="{2A0DB619-35A9-40C9-89FA-F085CBA44296}">
      <formula1>"Completed,In Progress,Failed,Skipped"</formula1>
    </dataValidation>
  </dataValidations>
  <pageMargins left="0.7" right="0.7" top="0.75" bottom="0.75" header="0.3" footer="0.3"/>
  <pageSetup paperSize="9" orientation="portrait" horizontalDpi="4294967293"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A91D65-AFAC-4831-99C4-F210F80CB8B3}">
  <sheetPr codeName="Settings"/>
  <dimension ref="A1:Q61"/>
  <sheetViews>
    <sheetView workbookViewId="0">
      <pane ySplit="1" topLeftCell="A45" activePane="bottomLeft" state="frozenSplit"/>
      <selection pane="bottomLeft" activeCell="A69" sqref="A69"/>
    </sheetView>
  </sheetViews>
  <sheetFormatPr defaultRowHeight="14.25" x14ac:dyDescent="0.45"/>
  <cols>
    <col min="1" max="1" width="25.06640625" style="1" bestFit="1" customWidth="1"/>
    <col min="2" max="2" width="7.1328125" style="1" bestFit="1" customWidth="1"/>
    <col min="3" max="3" width="10.19921875" style="1" customWidth="1"/>
    <col min="4" max="4" width="10.86328125" style="1" customWidth="1"/>
    <col min="5" max="6" width="64.59765625" style="1" customWidth="1"/>
    <col min="7" max="16384" width="9.06640625" style="1"/>
  </cols>
  <sheetData>
    <row r="1" spans="1:17" x14ac:dyDescent="0.45">
      <c r="A1" s="2" t="s">
        <v>22</v>
      </c>
      <c r="B1" s="2" t="s">
        <v>10</v>
      </c>
      <c r="C1" s="2" t="s">
        <v>23</v>
      </c>
      <c r="D1" s="2" t="s">
        <v>24</v>
      </c>
      <c r="E1" s="2" t="s">
        <v>25</v>
      </c>
      <c r="F1" s="2" t="s">
        <v>13</v>
      </c>
    </row>
    <row r="2" spans="1:17" x14ac:dyDescent="0.45">
      <c r="A2" s="24" t="s">
        <v>26</v>
      </c>
      <c r="B2" s="30" t="s">
        <v>27</v>
      </c>
      <c r="C2" s="31" t="b">
        <v>0</v>
      </c>
      <c r="D2" s="31" t="b">
        <v>0</v>
      </c>
      <c r="E2" s="23" t="b">
        <v>1</v>
      </c>
      <c r="F2" s="25" t="s">
        <v>28</v>
      </c>
      <c r="Q2" s="5"/>
    </row>
    <row r="3" spans="1:17" x14ac:dyDescent="0.45">
      <c r="A3" s="24" t="s">
        <v>29</v>
      </c>
      <c r="B3" s="30" t="s">
        <v>30</v>
      </c>
      <c r="C3" s="31" t="b">
        <v>0</v>
      </c>
      <c r="D3" s="31" t="b">
        <v>0</v>
      </c>
      <c r="E3" s="25">
        <v>4</v>
      </c>
      <c r="F3" s="25" t="s">
        <v>31</v>
      </c>
      <c r="Q3" s="5"/>
    </row>
    <row r="4" spans="1:17" ht="28.5" x14ac:dyDescent="0.45">
      <c r="A4" s="24" t="s">
        <v>32</v>
      </c>
      <c r="B4" s="30" t="s">
        <v>33</v>
      </c>
      <c r="C4" s="31" t="b">
        <v>0</v>
      </c>
      <c r="D4" s="31" t="b">
        <v>0</v>
      </c>
      <c r="E4" s="25" t="s">
        <v>34</v>
      </c>
      <c r="F4" s="25" t="s">
        <v>35</v>
      </c>
    </row>
    <row r="5" spans="1:17" x14ac:dyDescent="0.45">
      <c r="A5" s="24" t="s">
        <v>36</v>
      </c>
      <c r="B5" s="30" t="s">
        <v>27</v>
      </c>
      <c r="C5" s="31" t="b">
        <v>0</v>
      </c>
      <c r="D5" s="31" t="b">
        <v>0</v>
      </c>
      <c r="E5" s="23" t="b">
        <v>1</v>
      </c>
      <c r="F5" s="25" t="s">
        <v>37</v>
      </c>
    </row>
    <row r="6" spans="1:17" x14ac:dyDescent="0.45">
      <c r="A6" s="24" t="s">
        <v>38</v>
      </c>
      <c r="B6" s="30" t="s">
        <v>39</v>
      </c>
      <c r="C6" s="31" t="b">
        <v>0</v>
      </c>
      <c r="D6" s="31" t="b">
        <v>0</v>
      </c>
      <c r="E6" s="25" t="s">
        <v>40</v>
      </c>
      <c r="F6" s="25" t="s">
        <v>41</v>
      </c>
    </row>
    <row r="7" spans="1:17" x14ac:dyDescent="0.45">
      <c r="A7" s="24" t="s">
        <v>42</v>
      </c>
      <c r="B7" s="30" t="s">
        <v>39</v>
      </c>
      <c r="C7" s="31" t="b">
        <v>0</v>
      </c>
      <c r="D7" s="31" t="b">
        <v>0</v>
      </c>
      <c r="E7" s="25" t="s">
        <v>43</v>
      </c>
      <c r="F7" s="25" t="s">
        <v>44</v>
      </c>
    </row>
    <row r="8" spans="1:17" x14ac:dyDescent="0.45">
      <c r="A8" s="24" t="s">
        <v>45</v>
      </c>
      <c r="B8" s="30" t="s">
        <v>39</v>
      </c>
      <c r="C8" s="31" t="b">
        <v>0</v>
      </c>
      <c r="D8" s="31" t="b">
        <v>0</v>
      </c>
      <c r="E8" s="25" t="s">
        <v>46</v>
      </c>
      <c r="F8" s="25" t="s">
        <v>47</v>
      </c>
    </row>
    <row r="9" spans="1:17" x14ac:dyDescent="0.45">
      <c r="A9" s="24" t="s">
        <v>48</v>
      </c>
      <c r="B9" s="30" t="s">
        <v>39</v>
      </c>
      <c r="C9" s="31" t="b">
        <v>0</v>
      </c>
      <c r="D9" s="31" t="b">
        <v>0</v>
      </c>
      <c r="E9" s="25" t="s">
        <v>49</v>
      </c>
      <c r="F9" s="25" t="s">
        <v>50</v>
      </c>
    </row>
    <row r="10" spans="1:17" x14ac:dyDescent="0.45">
      <c r="A10" s="24" t="s">
        <v>51</v>
      </c>
      <c r="B10" s="30" t="s">
        <v>39</v>
      </c>
      <c r="C10" s="31" t="b">
        <v>0</v>
      </c>
      <c r="D10" s="31" t="b">
        <v>0</v>
      </c>
      <c r="E10" s="25" t="s">
        <v>52</v>
      </c>
      <c r="F10" s="25" t="s">
        <v>53</v>
      </c>
    </row>
    <row r="11" spans="1:17" ht="71.25" x14ac:dyDescent="0.45">
      <c r="A11" s="24" t="s">
        <v>219</v>
      </c>
      <c r="B11" s="30" t="s">
        <v>27</v>
      </c>
      <c r="C11" s="31" t="b">
        <v>0</v>
      </c>
      <c r="D11" s="31" t="b">
        <v>0</v>
      </c>
      <c r="E11" s="31" t="b">
        <v>0</v>
      </c>
      <c r="F11" s="25" t="s">
        <v>220</v>
      </c>
    </row>
    <row r="12" spans="1:17" ht="28.5" x14ac:dyDescent="0.45">
      <c r="A12" s="24" t="s">
        <v>54</v>
      </c>
      <c r="B12" s="30" t="s">
        <v>39</v>
      </c>
      <c r="C12" s="31" t="b">
        <v>0</v>
      </c>
      <c r="D12" s="23" t="b">
        <v>1</v>
      </c>
      <c r="E12" s="25" t="s">
        <v>55</v>
      </c>
      <c r="F12" s="25" t="s">
        <v>56</v>
      </c>
    </row>
    <row r="13" spans="1:17" ht="28.5" x14ac:dyDescent="0.45">
      <c r="A13" s="24" t="s">
        <v>57</v>
      </c>
      <c r="B13" s="30" t="s">
        <v>39</v>
      </c>
      <c r="C13" s="31" t="b">
        <v>0</v>
      </c>
      <c r="D13" s="23" t="b">
        <v>1</v>
      </c>
      <c r="E13" s="25" t="s">
        <v>58</v>
      </c>
      <c r="F13" s="25" t="s">
        <v>59</v>
      </c>
    </row>
    <row r="14" spans="1:17" ht="28.5" x14ac:dyDescent="0.45">
      <c r="A14" s="24" t="s">
        <v>60</v>
      </c>
      <c r="B14" s="30" t="s">
        <v>39</v>
      </c>
      <c r="C14" s="31" t="b">
        <v>0</v>
      </c>
      <c r="D14" s="23" t="b">
        <v>1</v>
      </c>
      <c r="E14" s="25" t="s">
        <v>61</v>
      </c>
      <c r="F14" s="25" t="s">
        <v>62</v>
      </c>
    </row>
    <row r="15" spans="1:17" ht="28.5" x14ac:dyDescent="0.45">
      <c r="A15" s="24" t="s">
        <v>63</v>
      </c>
      <c r="B15" s="30" t="s">
        <v>39</v>
      </c>
      <c r="C15" s="31" t="b">
        <v>0</v>
      </c>
      <c r="D15" s="23" t="b">
        <v>1</v>
      </c>
      <c r="E15" s="25" t="s">
        <v>64</v>
      </c>
      <c r="F15" s="25" t="s">
        <v>65</v>
      </c>
    </row>
    <row r="16" spans="1:17" ht="28.5" x14ac:dyDescent="0.45">
      <c r="A16" s="24" t="s">
        <v>66</v>
      </c>
      <c r="B16" s="30" t="s">
        <v>39</v>
      </c>
      <c r="C16" s="31" t="b">
        <v>0</v>
      </c>
      <c r="D16" s="23" t="b">
        <v>1</v>
      </c>
      <c r="E16" s="25" t="s">
        <v>67</v>
      </c>
      <c r="F16" s="25" t="s">
        <v>68</v>
      </c>
    </row>
    <row r="17" spans="1:6" x14ac:dyDescent="0.45">
      <c r="A17" s="24" t="s">
        <v>69</v>
      </c>
      <c r="B17" s="30" t="s">
        <v>33</v>
      </c>
      <c r="C17" s="31" t="b">
        <v>0</v>
      </c>
      <c r="D17" s="31" t="b">
        <v>0</v>
      </c>
      <c r="E17" s="25" t="s">
        <v>70</v>
      </c>
      <c r="F17" s="25" t="s">
        <v>71</v>
      </c>
    </row>
    <row r="18" spans="1:6" x14ac:dyDescent="0.45">
      <c r="A18" s="24" t="s">
        <v>72</v>
      </c>
      <c r="B18" s="30" t="s">
        <v>33</v>
      </c>
      <c r="C18" s="31" t="b">
        <v>0</v>
      </c>
      <c r="D18" s="31" t="b">
        <v>0</v>
      </c>
      <c r="E18" s="25" t="s">
        <v>73</v>
      </c>
      <c r="F18" s="25" t="s">
        <v>74</v>
      </c>
    </row>
    <row r="19" spans="1:6" x14ac:dyDescent="0.45">
      <c r="A19" s="24" t="s">
        <v>75</v>
      </c>
      <c r="B19" s="30" t="s">
        <v>33</v>
      </c>
      <c r="C19" s="31" t="b">
        <v>0</v>
      </c>
      <c r="D19" s="31" t="b">
        <v>0</v>
      </c>
      <c r="E19" s="25" t="s">
        <v>76</v>
      </c>
      <c r="F19" s="25" t="s">
        <v>77</v>
      </c>
    </row>
    <row r="20" spans="1:6" x14ac:dyDescent="0.45">
      <c r="A20" s="24" t="s">
        <v>78</v>
      </c>
      <c r="B20" s="30" t="s">
        <v>79</v>
      </c>
      <c r="C20" s="31" t="b">
        <v>0</v>
      </c>
      <c r="D20" s="31" t="b">
        <v>0</v>
      </c>
      <c r="E20" s="32" t="s">
        <v>80</v>
      </c>
      <c r="F20" s="25" t="s">
        <v>81</v>
      </c>
    </row>
    <row r="21" spans="1:6" x14ac:dyDescent="0.45">
      <c r="A21" s="24" t="s">
        <v>82</v>
      </c>
      <c r="B21" s="30" t="s">
        <v>79</v>
      </c>
      <c r="C21" s="31" t="b">
        <v>0</v>
      </c>
      <c r="D21" s="31" t="b">
        <v>0</v>
      </c>
      <c r="E21" s="33" t="s">
        <v>83</v>
      </c>
      <c r="F21" s="25" t="s">
        <v>84</v>
      </c>
    </row>
    <row r="22" spans="1:6" x14ac:dyDescent="0.45">
      <c r="A22" s="24" t="s">
        <v>85</v>
      </c>
      <c r="B22" s="30" t="s">
        <v>79</v>
      </c>
      <c r="C22" s="31" t="b">
        <v>0</v>
      </c>
      <c r="D22" s="31" t="b">
        <v>0</v>
      </c>
      <c r="E22" s="34" t="s">
        <v>86</v>
      </c>
      <c r="F22" s="25" t="s">
        <v>87</v>
      </c>
    </row>
    <row r="23" spans="1:6" x14ac:dyDescent="0.45">
      <c r="A23" s="24" t="s">
        <v>88</v>
      </c>
      <c r="B23" s="30" t="s">
        <v>79</v>
      </c>
      <c r="C23" s="31" t="b">
        <v>0</v>
      </c>
      <c r="D23" s="31" t="b">
        <v>0</v>
      </c>
      <c r="E23" s="33" t="s">
        <v>83</v>
      </c>
      <c r="F23" s="25" t="s">
        <v>89</v>
      </c>
    </row>
    <row r="24" spans="1:6" x14ac:dyDescent="0.45">
      <c r="A24" s="24" t="s">
        <v>90</v>
      </c>
      <c r="B24" s="30" t="s">
        <v>79</v>
      </c>
      <c r="C24" s="31" t="b">
        <v>0</v>
      </c>
      <c r="D24" s="31" t="b">
        <v>0</v>
      </c>
      <c r="E24" s="35" t="s">
        <v>91</v>
      </c>
      <c r="F24" s="25" t="s">
        <v>81</v>
      </c>
    </row>
    <row r="25" spans="1:6" x14ac:dyDescent="0.45">
      <c r="A25" s="24" t="s">
        <v>92</v>
      </c>
      <c r="B25" s="30" t="s">
        <v>79</v>
      </c>
      <c r="C25" s="31" t="b">
        <v>0</v>
      </c>
      <c r="D25" s="31" t="b">
        <v>0</v>
      </c>
      <c r="E25" s="33" t="s">
        <v>83</v>
      </c>
      <c r="F25" s="25" t="s">
        <v>93</v>
      </c>
    </row>
    <row r="26" spans="1:6" x14ac:dyDescent="0.45">
      <c r="A26" s="24" t="s">
        <v>94</v>
      </c>
      <c r="B26" s="30" t="s">
        <v>79</v>
      </c>
      <c r="C26" s="31" t="b">
        <v>0</v>
      </c>
      <c r="D26" s="31" t="b">
        <v>0</v>
      </c>
      <c r="E26" s="36" t="s">
        <v>95</v>
      </c>
      <c r="F26" s="25" t="s">
        <v>96</v>
      </c>
    </row>
    <row r="27" spans="1:6" x14ac:dyDescent="0.45">
      <c r="A27" s="24" t="s">
        <v>97</v>
      </c>
      <c r="B27" s="30" t="s">
        <v>79</v>
      </c>
      <c r="C27" s="31" t="b">
        <v>0</v>
      </c>
      <c r="D27" s="31" t="b">
        <v>0</v>
      </c>
      <c r="E27" s="33" t="s">
        <v>83</v>
      </c>
      <c r="F27" s="25" t="s">
        <v>98</v>
      </c>
    </row>
    <row r="28" spans="1:6" x14ac:dyDescent="0.45">
      <c r="A28" s="24" t="s">
        <v>99</v>
      </c>
      <c r="B28" s="30" t="s">
        <v>79</v>
      </c>
      <c r="C28" s="31" t="b">
        <v>0</v>
      </c>
      <c r="D28" s="31" t="b">
        <v>0</v>
      </c>
      <c r="E28" s="37" t="s">
        <v>100</v>
      </c>
      <c r="F28" s="25" t="s">
        <v>101</v>
      </c>
    </row>
    <row r="29" spans="1:6" x14ac:dyDescent="0.45">
      <c r="A29" s="24" t="s">
        <v>102</v>
      </c>
      <c r="B29" s="30" t="s">
        <v>79</v>
      </c>
      <c r="C29" s="31" t="b">
        <v>0</v>
      </c>
      <c r="D29" s="31" t="b">
        <v>0</v>
      </c>
      <c r="E29" s="38" t="s">
        <v>103</v>
      </c>
      <c r="F29" s="25" t="s">
        <v>104</v>
      </c>
    </row>
    <row r="30" spans="1:6" x14ac:dyDescent="0.45">
      <c r="A30" s="24" t="s">
        <v>105</v>
      </c>
      <c r="B30" s="30" t="s">
        <v>79</v>
      </c>
      <c r="C30" s="31" t="b">
        <v>0</v>
      </c>
      <c r="D30" s="31" t="b">
        <v>0</v>
      </c>
      <c r="E30" s="39" t="s">
        <v>106</v>
      </c>
      <c r="F30" s="25" t="s">
        <v>107</v>
      </c>
    </row>
    <row r="31" spans="1:6" x14ac:dyDescent="0.45">
      <c r="A31" s="24" t="s">
        <v>108</v>
      </c>
      <c r="B31" s="30" t="s">
        <v>30</v>
      </c>
      <c r="C31" s="31" t="b">
        <v>0</v>
      </c>
      <c r="D31" s="31" t="b">
        <v>0</v>
      </c>
      <c r="E31" s="25">
        <v>32</v>
      </c>
      <c r="F31" s="25" t="s">
        <v>109</v>
      </c>
    </row>
    <row r="32" spans="1:6" ht="28.5" x14ac:dyDescent="0.45">
      <c r="A32" s="24" t="s">
        <v>110</v>
      </c>
      <c r="B32" s="30" t="s">
        <v>30</v>
      </c>
      <c r="C32" s="31" t="b">
        <v>0</v>
      </c>
      <c r="D32" s="31" t="b">
        <v>0</v>
      </c>
      <c r="E32" s="25">
        <v>64</v>
      </c>
      <c r="F32" s="25" t="s">
        <v>111</v>
      </c>
    </row>
    <row r="33" spans="1:6" x14ac:dyDescent="0.45">
      <c r="A33" s="24" t="s">
        <v>112</v>
      </c>
      <c r="B33" s="30" t="s">
        <v>39</v>
      </c>
      <c r="C33" s="31" t="b">
        <v>0</v>
      </c>
      <c r="D33" s="31" t="b">
        <v>0</v>
      </c>
      <c r="E33" s="25" t="s">
        <v>215</v>
      </c>
      <c r="F33" s="25" t="s">
        <v>113</v>
      </c>
    </row>
    <row r="34" spans="1:6" x14ac:dyDescent="0.45">
      <c r="A34" s="24" t="s">
        <v>114</v>
      </c>
      <c r="B34" s="30" t="s">
        <v>115</v>
      </c>
      <c r="C34" s="31" t="b">
        <v>0</v>
      </c>
      <c r="D34" s="31" t="b">
        <v>0</v>
      </c>
      <c r="E34" s="25" t="s">
        <v>116</v>
      </c>
      <c r="F34" s="25" t="s">
        <v>117</v>
      </c>
    </row>
    <row r="35" spans="1:6" x14ac:dyDescent="0.45">
      <c r="A35" s="24" t="s">
        <v>118</v>
      </c>
      <c r="B35" s="30" t="s">
        <v>115</v>
      </c>
      <c r="C35" s="31" t="b">
        <v>0</v>
      </c>
      <c r="D35" s="31" t="b">
        <v>0</v>
      </c>
      <c r="E35" s="25" t="s">
        <v>119</v>
      </c>
      <c r="F35" s="25" t="s">
        <v>120</v>
      </c>
    </row>
    <row r="36" spans="1:6" x14ac:dyDescent="0.45">
      <c r="A36" s="24" t="s">
        <v>121</v>
      </c>
      <c r="B36" s="30" t="s">
        <v>115</v>
      </c>
      <c r="C36" s="31" t="b">
        <v>0</v>
      </c>
      <c r="D36" s="31" t="b">
        <v>0</v>
      </c>
      <c r="E36" s="25" t="s">
        <v>122</v>
      </c>
      <c r="F36" s="25" t="s">
        <v>123</v>
      </c>
    </row>
    <row r="37" spans="1:6" x14ac:dyDescent="0.45">
      <c r="A37" s="24" t="s">
        <v>124</v>
      </c>
      <c r="B37" s="30" t="s">
        <v>115</v>
      </c>
      <c r="C37" s="31" t="b">
        <v>0</v>
      </c>
      <c r="D37" s="31" t="b">
        <v>0</v>
      </c>
      <c r="E37" s="25" t="s">
        <v>125</v>
      </c>
      <c r="F37" s="25" t="s">
        <v>126</v>
      </c>
    </row>
    <row r="38" spans="1:6" x14ac:dyDescent="0.45">
      <c r="A38" s="24" t="s">
        <v>127</v>
      </c>
      <c r="B38" s="30" t="s">
        <v>115</v>
      </c>
      <c r="C38" s="31" t="b">
        <v>0</v>
      </c>
      <c r="D38" s="31" t="b">
        <v>0</v>
      </c>
      <c r="E38" s="25" t="s">
        <v>128</v>
      </c>
      <c r="F38" s="25" t="s">
        <v>129</v>
      </c>
    </row>
    <row r="39" spans="1:6" x14ac:dyDescent="0.45">
      <c r="A39" s="24" t="s">
        <v>130</v>
      </c>
      <c r="B39" s="30" t="s">
        <v>115</v>
      </c>
      <c r="C39" s="31" t="b">
        <v>0</v>
      </c>
      <c r="D39" s="31" t="b">
        <v>0</v>
      </c>
      <c r="E39" s="25" t="s">
        <v>246</v>
      </c>
      <c r="F39" s="25" t="s">
        <v>131</v>
      </c>
    </row>
    <row r="40" spans="1:6" x14ac:dyDescent="0.45">
      <c r="A40" s="24" t="s">
        <v>142</v>
      </c>
      <c r="B40" s="30" t="s">
        <v>115</v>
      </c>
      <c r="C40" s="31" t="b">
        <v>0</v>
      </c>
      <c r="D40" s="31" t="b">
        <v>0</v>
      </c>
      <c r="E40" s="25" t="s">
        <v>143</v>
      </c>
      <c r="F40" s="25" t="s">
        <v>144</v>
      </c>
    </row>
    <row r="41" spans="1:6" x14ac:dyDescent="0.45">
      <c r="A41" s="24" t="s">
        <v>145</v>
      </c>
      <c r="B41" s="30" t="s">
        <v>115</v>
      </c>
      <c r="C41" s="31" t="b">
        <v>0</v>
      </c>
      <c r="D41" s="31" t="b">
        <v>0</v>
      </c>
      <c r="E41" s="25" t="s">
        <v>146</v>
      </c>
      <c r="F41" s="25" t="s">
        <v>147</v>
      </c>
    </row>
    <row r="42" spans="1:6" x14ac:dyDescent="0.45">
      <c r="A42" s="24" t="s">
        <v>148</v>
      </c>
      <c r="B42" s="30" t="s">
        <v>115</v>
      </c>
      <c r="C42" s="31" t="b">
        <v>0</v>
      </c>
      <c r="D42" s="31" t="b">
        <v>0</v>
      </c>
      <c r="E42" s="25" t="s">
        <v>149</v>
      </c>
      <c r="F42" s="25" t="s">
        <v>150</v>
      </c>
    </row>
    <row r="43" spans="1:6" x14ac:dyDescent="0.45">
      <c r="A43" s="24" t="s">
        <v>159</v>
      </c>
      <c r="B43" s="30" t="s">
        <v>115</v>
      </c>
      <c r="C43" s="31" t="b">
        <v>0</v>
      </c>
      <c r="D43" s="31" t="b">
        <v>0</v>
      </c>
      <c r="E43" s="25" t="s">
        <v>160</v>
      </c>
      <c r="F43" s="25" t="s">
        <v>161</v>
      </c>
    </row>
    <row r="44" spans="1:6" x14ac:dyDescent="0.45">
      <c r="A44" s="24" t="s">
        <v>132</v>
      </c>
      <c r="B44" s="30" t="s">
        <v>33</v>
      </c>
      <c r="C44" s="31" t="b">
        <v>0</v>
      </c>
      <c r="D44" s="31" t="b">
        <v>0</v>
      </c>
      <c r="E44" s="25"/>
      <c r="F44" s="25" t="s">
        <v>133</v>
      </c>
    </row>
    <row r="45" spans="1:6" x14ac:dyDescent="0.45">
      <c r="A45" s="24" t="s">
        <v>134</v>
      </c>
      <c r="B45" s="30" t="s">
        <v>27</v>
      </c>
      <c r="C45" s="31" t="b">
        <v>0</v>
      </c>
      <c r="D45" s="31" t="b">
        <v>0</v>
      </c>
      <c r="E45" s="23" t="b">
        <v>1</v>
      </c>
      <c r="F45" s="25" t="s">
        <v>135</v>
      </c>
    </row>
    <row r="46" spans="1:6" x14ac:dyDescent="0.45">
      <c r="A46" s="24" t="s">
        <v>136</v>
      </c>
      <c r="B46" s="30" t="s">
        <v>27</v>
      </c>
      <c r="C46" s="31" t="b">
        <v>0</v>
      </c>
      <c r="D46" s="31" t="b">
        <v>0</v>
      </c>
      <c r="E46" s="23" t="b">
        <v>1</v>
      </c>
      <c r="F46" s="25" t="s">
        <v>137</v>
      </c>
    </row>
    <row r="47" spans="1:6" ht="28.5" x14ac:dyDescent="0.45">
      <c r="A47" s="24" t="s">
        <v>138</v>
      </c>
      <c r="B47" s="30" t="s">
        <v>33</v>
      </c>
      <c r="C47" s="31" t="b">
        <v>0</v>
      </c>
      <c r="D47" s="31" t="b">
        <v>0</v>
      </c>
      <c r="E47" s="25"/>
      <c r="F47" s="25" t="s">
        <v>139</v>
      </c>
    </row>
    <row r="48" spans="1:6" ht="28.5" x14ac:dyDescent="0.45">
      <c r="A48" s="24" t="s">
        <v>140</v>
      </c>
      <c r="B48" s="30" t="s">
        <v>33</v>
      </c>
      <c r="C48" s="31" t="b">
        <v>0</v>
      </c>
      <c r="D48" s="31" t="b">
        <v>0</v>
      </c>
      <c r="E48" s="25"/>
      <c r="F48" s="25" t="s">
        <v>141</v>
      </c>
    </row>
    <row r="49" spans="1:6" x14ac:dyDescent="0.45">
      <c r="A49" s="24" t="s">
        <v>151</v>
      </c>
      <c r="B49" s="30" t="s">
        <v>16</v>
      </c>
      <c r="C49" s="31" t="b">
        <v>0</v>
      </c>
      <c r="D49" s="31" t="b">
        <v>0</v>
      </c>
      <c r="E49" s="26">
        <v>0.20833333333333334</v>
      </c>
      <c r="F49" s="25" t="s">
        <v>152</v>
      </c>
    </row>
    <row r="50" spans="1:6" x14ac:dyDescent="0.45">
      <c r="A50" s="24" t="s">
        <v>153</v>
      </c>
      <c r="B50" s="30" t="s">
        <v>16</v>
      </c>
      <c r="C50" s="31" t="b">
        <v>0</v>
      </c>
      <c r="D50" s="31" t="b">
        <v>0</v>
      </c>
      <c r="E50" s="26">
        <v>3.472222222222222E-3</v>
      </c>
      <c r="F50" s="25" t="s">
        <v>154</v>
      </c>
    </row>
    <row r="51" spans="1:6" x14ac:dyDescent="0.45">
      <c r="A51" s="24" t="s">
        <v>244</v>
      </c>
      <c r="B51" s="30" t="s">
        <v>16</v>
      </c>
      <c r="C51" s="31" t="b">
        <v>0</v>
      </c>
      <c r="D51" s="31" t="b">
        <v>0</v>
      </c>
      <c r="E51" s="26">
        <v>0.25</v>
      </c>
      <c r="F51" s="25" t="s">
        <v>245</v>
      </c>
    </row>
    <row r="52" spans="1:6" x14ac:dyDescent="0.45">
      <c r="A52" s="24" t="s">
        <v>155</v>
      </c>
      <c r="B52" s="30" t="s">
        <v>27</v>
      </c>
      <c r="C52" s="31" t="b">
        <v>0</v>
      </c>
      <c r="D52" s="31" t="b">
        <v>0</v>
      </c>
      <c r="E52" s="23" t="b">
        <v>1</v>
      </c>
      <c r="F52" s="25" t="s">
        <v>156</v>
      </c>
    </row>
    <row r="53" spans="1:6" ht="28.5" x14ac:dyDescent="0.45">
      <c r="A53" s="24" t="s">
        <v>157</v>
      </c>
      <c r="B53" s="30" t="s">
        <v>33</v>
      </c>
      <c r="C53" s="31" t="b">
        <v>0</v>
      </c>
      <c r="D53" s="31" t="b">
        <v>0</v>
      </c>
      <c r="E53" s="25"/>
      <c r="F53" s="25" t="s">
        <v>158</v>
      </c>
    </row>
    <row r="54" spans="1:6" ht="28.5" x14ac:dyDescent="0.45">
      <c r="A54" s="24" t="s">
        <v>162</v>
      </c>
      <c r="B54" s="30" t="s">
        <v>39</v>
      </c>
      <c r="C54" s="31" t="b">
        <v>0</v>
      </c>
      <c r="D54" s="31" t="b">
        <v>0</v>
      </c>
      <c r="E54" s="25" t="s">
        <v>163</v>
      </c>
      <c r="F54" s="25" t="s">
        <v>164</v>
      </c>
    </row>
    <row r="55" spans="1:6" ht="42.75" x14ac:dyDescent="0.45">
      <c r="A55" s="24" t="s">
        <v>212</v>
      </c>
      <c r="B55" s="30" t="s">
        <v>27</v>
      </c>
      <c r="C55" s="31" t="b">
        <v>0</v>
      </c>
      <c r="D55" s="31" t="b">
        <v>0</v>
      </c>
      <c r="E55" s="31" t="b">
        <v>0</v>
      </c>
      <c r="F55" s="25" t="s">
        <v>213</v>
      </c>
    </row>
    <row r="56" spans="1:6" ht="85.5" x14ac:dyDescent="0.45">
      <c r="A56" s="24" t="s">
        <v>218</v>
      </c>
      <c r="B56" s="30" t="s">
        <v>27</v>
      </c>
      <c r="C56" s="31" t="b">
        <v>0</v>
      </c>
      <c r="D56" s="31" t="b">
        <v>0</v>
      </c>
      <c r="E56" s="31" t="b">
        <v>0</v>
      </c>
      <c r="F56" s="25" t="s">
        <v>222</v>
      </c>
    </row>
    <row r="57" spans="1:6" ht="28.5" x14ac:dyDescent="0.45">
      <c r="A57" s="24" t="s">
        <v>237</v>
      </c>
      <c r="B57" s="30" t="s">
        <v>33</v>
      </c>
      <c r="C57" s="31" t="b">
        <v>0</v>
      </c>
      <c r="D57" s="23" t="b">
        <v>1</v>
      </c>
      <c r="E57" s="25" t="s">
        <v>239</v>
      </c>
      <c r="F57" s="25" t="s">
        <v>238</v>
      </c>
    </row>
    <row r="58" spans="1:6" ht="28.5" x14ac:dyDescent="0.45">
      <c r="A58" s="24" t="s">
        <v>249</v>
      </c>
      <c r="B58" s="30" t="s">
        <v>33</v>
      </c>
      <c r="C58" s="31" t="b">
        <v>0</v>
      </c>
      <c r="D58" s="31" t="b">
        <v>0</v>
      </c>
      <c r="E58" s="25"/>
      <c r="F58" s="25" t="s">
        <v>254</v>
      </c>
    </row>
    <row r="59" spans="1:6" ht="42.75" x14ac:dyDescent="0.45">
      <c r="A59" s="24" t="s">
        <v>250</v>
      </c>
      <c r="B59" s="30" t="s">
        <v>33</v>
      </c>
      <c r="C59" s="31" t="b">
        <v>0</v>
      </c>
      <c r="D59" s="31" t="b">
        <v>0</v>
      </c>
      <c r="E59" s="25"/>
      <c r="F59" s="25" t="s">
        <v>251</v>
      </c>
    </row>
    <row r="60" spans="1:6" x14ac:dyDescent="0.45">
      <c r="A60" s="24" t="s">
        <v>269</v>
      </c>
      <c r="B60" s="30" t="s">
        <v>33</v>
      </c>
      <c r="C60" s="23" t="b">
        <v>1</v>
      </c>
      <c r="D60" s="31" t="b">
        <v>0</v>
      </c>
      <c r="E60" s="25"/>
      <c r="F60" s="25"/>
    </row>
    <row r="61" spans="1:6" x14ac:dyDescent="0.45">
      <c r="A61" s="24" t="s">
        <v>270</v>
      </c>
      <c r="B61" s="30" t="s">
        <v>39</v>
      </c>
      <c r="C61" s="23" t="b">
        <v>1</v>
      </c>
      <c r="D61" s="31" t="b">
        <v>0</v>
      </c>
      <c r="E61" s="25"/>
      <c r="F61" s="25"/>
    </row>
  </sheetData>
  <sheetProtection formatCells="0" formatColumns="0" formatRows="0" autoFilter="0"/>
  <autoFilter ref="A1:F54" xr:uid="{D841F855-90E7-4D2A-8014-12C10E990EEF}"/>
  <dataValidations count="3">
    <dataValidation type="textLength" showDropDown="1" showErrorMessage="1" sqref="A2:A61" xr:uid="{756B5C46-8A95-4EC3-94D6-A8A16FCC4A19}">
      <formula1>1</formula1>
      <formula2>32</formula2>
    </dataValidation>
    <dataValidation type="list" showErrorMessage="1" sqref="B2:B61" xr:uid="{C6B7ED57-39D8-47C0-B575-75E4F820F437}">
      <formula1>"Array,Boolean,Color,Integer,Range,String,Time"</formula1>
    </dataValidation>
    <dataValidation type="list" allowBlank="1" sqref="C53:D61 C12:D51 C6:D10 C3:D4 C2:E2 E55:E56 C52:E52 E45:E46 C11:E11 C5:E5" xr:uid="{6BF8FD75-4816-4895-AA6B-39C84FBEE5C3}">
      <formula1>"TRUE,FALSE"</formula1>
    </dataValidation>
  </dataValidations>
  <pageMargins left="0.7" right="0.7" top="0.75" bottom="0.75" header="0.3" footer="0.3"/>
  <pageSetup paperSize="9" orientation="portrait" horizont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A5529-2FD7-4798-85CF-78AD6C350F29}">
  <sheetPr codeName="EditorManual"/>
  <dimension ref="A1:G21"/>
  <sheetViews>
    <sheetView topLeftCell="B7" workbookViewId="0">
      <selection activeCell="E13" sqref="E13:F13"/>
    </sheetView>
  </sheetViews>
  <sheetFormatPr defaultRowHeight="14.25" x14ac:dyDescent="0.45"/>
  <cols>
    <col min="1" max="1" width="11.3984375" style="1" bestFit="1" customWidth="1"/>
    <col min="2" max="2" width="64.59765625" style="1" customWidth="1"/>
    <col min="3" max="3" width="20.265625" style="1" bestFit="1" customWidth="1"/>
    <col min="4" max="4" width="64.59765625" style="1" customWidth="1"/>
    <col min="5" max="5" width="25.1328125" style="1" bestFit="1" customWidth="1"/>
    <col min="6" max="6" width="64.59765625" style="1" customWidth="1"/>
    <col min="7" max="16384" width="9.06640625" style="1"/>
  </cols>
  <sheetData>
    <row r="1" spans="1:7" x14ac:dyDescent="0.45">
      <c r="A1" s="6" t="s">
        <v>165</v>
      </c>
      <c r="B1" s="7" t="s">
        <v>13</v>
      </c>
      <c r="C1" s="8" t="s">
        <v>166</v>
      </c>
      <c r="D1" s="9" t="s">
        <v>13</v>
      </c>
      <c r="E1" s="10" t="s">
        <v>217</v>
      </c>
      <c r="F1" s="10" t="s">
        <v>221</v>
      </c>
      <c r="G1" s="10"/>
    </row>
    <row r="2" spans="1:7" ht="43.15" thickBot="1" x14ac:dyDescent="0.5">
      <c r="A2" s="11" t="s">
        <v>19</v>
      </c>
      <c r="B2" s="25" t="str">
        <f>_xlfn.CONCAT("Regular steps, that will accept marking keys (",Settings!E6,", ",Settings!E7,", ",Settings!E8,", ",Settings!E9,", ",Settings!E10,") in appropriate 'Status' column")</f>
        <v>Regular steps, that will accept marking keys (C;С, S;Ы, E;F;У;А, Z;Я, P;З) in appropriate 'Status' column</v>
      </c>
      <c r="C2" s="11" t="s">
        <v>4</v>
      </c>
      <c r="D2" s="25" t="s">
        <v>167</v>
      </c>
      <c r="E2" s="12" t="s">
        <v>211</v>
      </c>
      <c r="F2" s="25" t="s">
        <v>226</v>
      </c>
    </row>
    <row r="3" spans="1:7" ht="157.5" thickTop="1" thickBot="1" x14ac:dyDescent="0.5">
      <c r="A3" s="41" t="s">
        <v>21</v>
      </c>
      <c r="B3" s="25" t="s">
        <v>168</v>
      </c>
      <c r="C3" s="11" t="s">
        <v>5</v>
      </c>
      <c r="D3" s="25" t="s">
        <v>169</v>
      </c>
      <c r="E3" s="12" t="s">
        <v>214</v>
      </c>
      <c r="F3" s="25" t="s">
        <v>247</v>
      </c>
    </row>
    <row r="4" spans="1:7" ht="157.5" thickTop="1" thickBot="1" x14ac:dyDescent="0.5">
      <c r="A4" s="46" t="s">
        <v>20</v>
      </c>
      <c r="B4" s="25" t="s">
        <v>170</v>
      </c>
      <c r="C4" s="11" t="s">
        <v>6</v>
      </c>
      <c r="D4" s="25" t="s">
        <v>171</v>
      </c>
      <c r="E4" s="12" t="s">
        <v>223</v>
      </c>
      <c r="F4" s="25" t="s">
        <v>242</v>
      </c>
    </row>
    <row r="5" spans="1:7" ht="142.5" x14ac:dyDescent="0.45">
      <c r="A5" s="6" t="s">
        <v>172</v>
      </c>
      <c r="B5" s="13" t="s">
        <v>13</v>
      </c>
      <c r="C5" s="11" t="s">
        <v>7</v>
      </c>
      <c r="D5" s="25" t="s">
        <v>173</v>
      </c>
      <c r="E5" s="22" t="s">
        <v>224</v>
      </c>
      <c r="F5" s="25" t="s">
        <v>225</v>
      </c>
    </row>
    <row r="6" spans="1:7" ht="99.75" x14ac:dyDescent="0.45">
      <c r="A6" s="14" t="s">
        <v>174</v>
      </c>
      <c r="B6" s="25" t="s">
        <v>175</v>
      </c>
      <c r="C6" s="11" t="s">
        <v>8</v>
      </c>
      <c r="D6" s="25" t="s">
        <v>176</v>
      </c>
      <c r="E6" s="22" t="s">
        <v>227</v>
      </c>
      <c r="F6" s="25" t="s">
        <v>248</v>
      </c>
    </row>
    <row r="7" spans="1:7" ht="57" x14ac:dyDescent="0.45">
      <c r="A7" s="15" t="s">
        <v>177</v>
      </c>
      <c r="B7" s="25" t="s">
        <v>178</v>
      </c>
      <c r="C7" s="11" t="s">
        <v>9</v>
      </c>
      <c r="D7" s="25" t="s">
        <v>179</v>
      </c>
      <c r="E7" s="22" t="s">
        <v>228</v>
      </c>
      <c r="F7" s="25" t="s">
        <v>229</v>
      </c>
    </row>
    <row r="8" spans="1:7" ht="85.5" x14ac:dyDescent="0.45">
      <c r="A8" s="16" t="s">
        <v>180</v>
      </c>
      <c r="B8" s="25" t="s">
        <v>181</v>
      </c>
      <c r="C8" s="11" t="s">
        <v>23</v>
      </c>
      <c r="D8" s="25" t="s">
        <v>182</v>
      </c>
      <c r="E8" s="22" t="s">
        <v>231</v>
      </c>
      <c r="F8" s="47" t="s">
        <v>232</v>
      </c>
    </row>
    <row r="9" spans="1:7" ht="28.9" thickBot="1" x14ac:dyDescent="0.5">
      <c r="A9" s="17" t="s">
        <v>183</v>
      </c>
      <c r="B9" s="25" t="s">
        <v>184</v>
      </c>
      <c r="C9" s="18" t="s">
        <v>24</v>
      </c>
      <c r="D9" s="25" t="s">
        <v>185</v>
      </c>
      <c r="E9" s="22" t="s">
        <v>233</v>
      </c>
      <c r="F9" s="25" t="s">
        <v>234</v>
      </c>
    </row>
    <row r="10" spans="1:7" ht="100.5" thickTop="1" thickBot="1" x14ac:dyDescent="0.5">
      <c r="A10" s="44">
        <v>0.66666666666666663</v>
      </c>
      <c r="B10" s="25" t="s">
        <v>186</v>
      </c>
      <c r="C10" s="6" t="s">
        <v>187</v>
      </c>
      <c r="D10" s="25" t="s">
        <v>188</v>
      </c>
      <c r="E10" s="22" t="s">
        <v>235</v>
      </c>
      <c r="F10" s="25" t="s">
        <v>236</v>
      </c>
    </row>
    <row r="11" spans="1:7" ht="29.25" thickTop="1" thickBot="1" x14ac:dyDescent="0.5">
      <c r="A11" s="46" t="s">
        <v>20</v>
      </c>
      <c r="B11" s="25" t="s">
        <v>189</v>
      </c>
      <c r="C11" s="23" t="b">
        <v>1</v>
      </c>
      <c r="D11" s="25" t="s">
        <v>190</v>
      </c>
      <c r="E11" s="22" t="s">
        <v>240</v>
      </c>
      <c r="F11" s="25" t="s">
        <v>241</v>
      </c>
    </row>
    <row r="12" spans="1:7" ht="71.650000000000006" thickBot="1" x14ac:dyDescent="0.5">
      <c r="A12" s="6" t="s">
        <v>191</v>
      </c>
      <c r="B12" s="13" t="s">
        <v>13</v>
      </c>
      <c r="C12" s="31" t="b">
        <v>0</v>
      </c>
      <c r="D12" s="25" t="s">
        <v>190</v>
      </c>
      <c r="E12" s="22" t="s">
        <v>252</v>
      </c>
      <c r="F12" s="25" t="s">
        <v>253</v>
      </c>
    </row>
    <row r="13" spans="1:7" ht="28.5" x14ac:dyDescent="0.45">
      <c r="A13" s="11" t="s">
        <v>33</v>
      </c>
      <c r="B13" s="25" t="s">
        <v>192</v>
      </c>
      <c r="C13" s="8" t="s">
        <v>193</v>
      </c>
      <c r="D13" s="25" t="s">
        <v>13</v>
      </c>
      <c r="E13" s="22" t="s">
        <v>243</v>
      </c>
      <c r="F13" s="25" t="s">
        <v>271</v>
      </c>
    </row>
    <row r="14" spans="1:7" x14ac:dyDescent="0.45">
      <c r="A14" s="11" t="s">
        <v>39</v>
      </c>
      <c r="B14" s="25" t="str">
        <f>_xlfn.CONCAT("List of values delimited by ",Settings!E4," (can be changed by ArrayDelimiter setting)")</f>
        <v>List of values delimited by ; (can be changed by ArrayDelimiter setting)</v>
      </c>
      <c r="C14" s="11" t="s">
        <v>194</v>
      </c>
      <c r="D14" s="25" t="s">
        <v>195</v>
      </c>
    </row>
    <row r="15" spans="1:7" ht="28.5" x14ac:dyDescent="0.45">
      <c r="A15" s="11" t="s">
        <v>27</v>
      </c>
      <c r="B15" s="25" t="s">
        <v>196</v>
      </c>
      <c r="C15" s="11" t="s">
        <v>197</v>
      </c>
      <c r="D15" s="25" t="s">
        <v>198</v>
      </c>
    </row>
    <row r="16" spans="1:7" ht="42.75" x14ac:dyDescent="0.45">
      <c r="A16" s="11" t="s">
        <v>30</v>
      </c>
      <c r="B16" s="25" t="s">
        <v>199</v>
      </c>
      <c r="C16" s="11" t="s">
        <v>200</v>
      </c>
      <c r="D16" s="25" t="s">
        <v>208</v>
      </c>
    </row>
    <row r="17" spans="1:4" ht="28.5" x14ac:dyDescent="0.45">
      <c r="A17" s="11" t="s">
        <v>79</v>
      </c>
      <c r="B17" s="25" t="s">
        <v>201</v>
      </c>
      <c r="C17" s="11" t="s">
        <v>202</v>
      </c>
      <c r="D17" s="25" t="s">
        <v>205</v>
      </c>
    </row>
    <row r="18" spans="1:4" ht="42.75" x14ac:dyDescent="0.45">
      <c r="A18" s="11" t="s">
        <v>115</v>
      </c>
      <c r="B18" s="25" t="s">
        <v>203</v>
      </c>
      <c r="C18" s="11" t="s">
        <v>206</v>
      </c>
      <c r="D18" s="25" t="s">
        <v>209</v>
      </c>
    </row>
    <row r="19" spans="1:4" ht="14.65" thickBot="1" x14ac:dyDescent="0.5">
      <c r="A19" s="18" t="s">
        <v>16</v>
      </c>
      <c r="B19" s="25" t="str">
        <f>_xlfn.CONCAT("Regular time value in ",Settings!E18," format")</f>
        <v>Regular time value in hh:mm format</v>
      </c>
      <c r="C19" s="11" t="s">
        <v>207</v>
      </c>
      <c r="D19" s="25" t="s">
        <v>210</v>
      </c>
    </row>
    <row r="20" spans="1:4" ht="99.75" x14ac:dyDescent="0.45">
      <c r="C20" s="20"/>
      <c r="D20" s="25" t="s">
        <v>216</v>
      </c>
    </row>
    <row r="21" spans="1:4" ht="85.9" thickBot="1" x14ac:dyDescent="0.5">
      <c r="C21" s="19"/>
      <c r="D21" s="21" t="s">
        <v>230</v>
      </c>
    </row>
  </sheetData>
  <sheetProtection formatCells="0" formatColumns="0" formatRows="0" autoFilter="0"/>
  <dataValidations count="1">
    <dataValidation type="list" allowBlank="1" sqref="C11:C12" xr:uid="{397DE216-C9BC-4811-87EE-6F793DD9F816}">
      <formula1>"TRUE,FALSE"</formula1>
    </dataValidation>
  </dataValidations>
  <pageMargins left="0.7" right="0.7" top="0.75" bottom="0.75" header="0.3" footer="0.3"/>
  <pageSetup paperSize="9" orientation="portrait" horizontalDpi="4294967293"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45</vt:i4>
      </vt:variant>
    </vt:vector>
  </HeadingPairs>
  <TitlesOfParts>
    <vt:vector size="48" baseType="lpstr">
      <vt:lpstr>RunSheet</vt:lpstr>
      <vt:lpstr>Settings</vt:lpstr>
      <vt:lpstr>EditorManual</vt:lpstr>
      <vt:lpstr>CurrentDayCell</vt:lpstr>
      <vt:lpstr>CurrentDayTextCell</vt:lpstr>
      <vt:lpstr>EditorSwitchCell</vt:lpstr>
      <vt:lpstr>EndOfDayCell</vt:lpstr>
      <vt:lpstr>LateSwitchCell</vt:lpstr>
      <vt:lpstr>NewStepMenu</vt:lpstr>
      <vt:lpstr>NextDayCell</vt:lpstr>
      <vt:lpstr>NextDayTextCell</vt:lpstr>
      <vt:lpstr>PreviousDayCell</vt:lpstr>
      <vt:lpstr>PreviousDayTextCell</vt:lpstr>
      <vt:lpstr>RunSheetBooleanCells</vt:lpstr>
      <vt:lpstr>RunSheetButtons</vt:lpstr>
      <vt:lpstr>RunSheetDelimiters</vt:lpstr>
      <vt:lpstr>RunSheetDescriptionColumnData</vt:lpstr>
      <vt:lpstr>RunSheetEditorColumns</vt:lpstr>
      <vt:lpstr>RunSheetIsFirstSpecialColumnData</vt:lpstr>
      <vt:lpstr>RunSheetIsFirstSpecialWorkColumnData</vt:lpstr>
      <vt:lpstr>RunSheetIsLastSpecialColumnData</vt:lpstr>
      <vt:lpstr>RunSheetIsLastSpecialWorkColumnData</vt:lpstr>
      <vt:lpstr>RunSheetIsLateSpecialColumnData</vt:lpstr>
      <vt:lpstr>RunSheetIsRegularSpecialColumnData</vt:lpstr>
      <vt:lpstr>RunSheetProcessingBlockColumnData</vt:lpstr>
      <vt:lpstr>RunSheetStatusColumnData</vt:lpstr>
      <vt:lpstr>RunSheetStepNameColumnData</vt:lpstr>
      <vt:lpstr>RunSheetTimeColumnData</vt:lpstr>
      <vt:lpstr>RunSheetTimeEndColumnData</vt:lpstr>
      <vt:lpstr>RunSheetTimeStartColumnData</vt:lpstr>
      <vt:lpstr>RunSheetTitleRow</vt:lpstr>
      <vt:lpstr>RunSheetTypeColumnData</vt:lpstr>
      <vt:lpstr>RunSheetUI</vt:lpstr>
      <vt:lpstr>RunSheetUserColumnData</vt:lpstr>
      <vt:lpstr>SettingsBooleanCells</vt:lpstr>
      <vt:lpstr>SettingsColors</vt:lpstr>
      <vt:lpstr>SettingsDescriptionColumnData</vt:lpstr>
      <vt:lpstr>SettingsEditable</vt:lpstr>
      <vt:lpstr>SettingsEditModeValue</vt:lpstr>
      <vt:lpstr>SettingsIDColumnData</vt:lpstr>
      <vt:lpstr>SettingsIsCustomColumnData</vt:lpstr>
      <vt:lpstr>SettingsIsEditableColumnData</vt:lpstr>
      <vt:lpstr>SettingsLateFlagValue</vt:lpstr>
      <vt:lpstr>SettingsTimeCells</vt:lpstr>
      <vt:lpstr>SettingsTitleRow</vt:lpstr>
      <vt:lpstr>SettingsTypeColumnData</vt:lpstr>
      <vt:lpstr>SettingsValueColumnData</vt:lpstr>
      <vt:lpstr>WelcomeCell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Dmitry Kustov</dc:creator>
  <cp:lastModifiedBy>Dmitry Kustov</cp:lastModifiedBy>
  <dcterms:created xsi:type="dcterms:W3CDTF">2020-06-12T07:48:42Z</dcterms:created>
  <dcterms:modified xsi:type="dcterms:W3CDTF">2020-09-05T09:49:41Z</dcterms:modified>
</cp:coreProperties>
</file>